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defaultThemeVersion="124226"/>
  <bookViews>
    <workbookView xWindow="240" yWindow="105" windowWidth="14805" windowHeight="8010" activeTab="8"/>
  </bookViews>
  <sheets>
    <sheet name="计划情况" sheetId="1" r:id="rId1"/>
    <sheet name="属性结构" sheetId="2" r:id="rId2"/>
    <sheet name="战斗公式" sheetId="3" r:id="rId3"/>
    <sheet name="装备" sheetId="4" r:id="rId4"/>
    <sheet name="EnumRes" sheetId="5" r:id="rId5"/>
    <sheet name="EquipRes" sheetId="6" r:id="rId6"/>
    <sheet name="AtbRes" sheetId="8" r:id="rId7"/>
    <sheet name="RaceRes" sheetId="9" r:id="rId8"/>
    <sheet name="Sheet1" sheetId="10" r:id="rId9"/>
  </sheets>
  <calcPr calcId="152511"/>
</workbook>
</file>

<file path=xl/calcChain.xml><?xml version="1.0" encoding="utf-8"?>
<calcChain xmlns="http://schemas.openxmlformats.org/spreadsheetml/2006/main">
  <c r="J5" i="9" l="1"/>
  <c r="K5" i="9"/>
  <c r="L5" i="9"/>
  <c r="M5" i="9"/>
  <c r="N5" i="9"/>
  <c r="O5" i="9"/>
  <c r="P5" i="9"/>
  <c r="J6" i="9"/>
  <c r="K6" i="9"/>
  <c r="L6" i="9"/>
  <c r="M6" i="9"/>
  <c r="N6" i="9"/>
  <c r="O6" i="9"/>
  <c r="P6" i="9"/>
  <c r="J7" i="9"/>
  <c r="K7" i="9"/>
  <c r="L7" i="9"/>
  <c r="M7" i="9"/>
  <c r="N7" i="9"/>
  <c r="O7" i="9"/>
  <c r="P7" i="9"/>
  <c r="J8" i="9"/>
  <c r="K8" i="9"/>
  <c r="L8" i="9"/>
  <c r="M8" i="9"/>
  <c r="N8" i="9"/>
  <c r="O8" i="9"/>
  <c r="P8" i="9"/>
  <c r="K4" i="9"/>
  <c r="L4" i="9"/>
  <c r="M4" i="9"/>
  <c r="N4" i="9"/>
  <c r="O4" i="9"/>
  <c r="P4" i="9"/>
  <c r="J4" i="9"/>
  <c r="E10" i="2"/>
  <c r="H10" i="8"/>
  <c r="H15" i="8" s="1"/>
  <c r="H20" i="8" s="1"/>
  <c r="H25" i="8" s="1"/>
  <c r="H30" i="8" s="1"/>
  <c r="H35" i="8" s="1"/>
  <c r="H40" i="8" s="1"/>
  <c r="H45" i="8" s="1"/>
  <c r="H50" i="8" s="1"/>
  <c r="H55" i="8" s="1"/>
  <c r="H60" i="8" s="1"/>
  <c r="H65" i="8" s="1"/>
  <c r="H70" i="8" s="1"/>
  <c r="H75" i="8" s="1"/>
  <c r="H80" i="8" s="1"/>
  <c r="H85" i="8" s="1"/>
  <c r="H90" i="8" s="1"/>
  <c r="H95" i="8" s="1"/>
  <c r="H100" i="8" s="1"/>
  <c r="H105" i="8" s="1"/>
  <c r="H110" i="8" s="1"/>
  <c r="H115" i="8" s="1"/>
  <c r="H120" i="8" s="1"/>
  <c r="H125" i="8" s="1"/>
  <c r="H130" i="8" s="1"/>
  <c r="H135" i="8" s="1"/>
  <c r="H140" i="8" s="1"/>
  <c r="H145" i="8" s="1"/>
  <c r="H150" i="8" s="1"/>
  <c r="H155" i="8" s="1"/>
  <c r="H160" i="8" s="1"/>
  <c r="H165" i="8" s="1"/>
  <c r="H170" i="8" s="1"/>
  <c r="H175" i="8" s="1"/>
  <c r="H180" i="8" s="1"/>
  <c r="H185" i="8" s="1"/>
  <c r="H190" i="8" s="1"/>
  <c r="H195" i="8" s="1"/>
  <c r="H200" i="8" s="1"/>
  <c r="H205" i="8" s="1"/>
  <c r="H210" i="8" s="1"/>
  <c r="H215" i="8" s="1"/>
  <c r="H220" i="8" s="1"/>
  <c r="H225" i="8" s="1"/>
  <c r="H230" i="8" s="1"/>
  <c r="H235" i="8" s="1"/>
  <c r="H240" i="8" s="1"/>
  <c r="H245" i="8" s="1"/>
  <c r="H250" i="8" s="1"/>
  <c r="H255" i="8" s="1"/>
  <c r="H260" i="8" s="1"/>
  <c r="H265" i="8" s="1"/>
  <c r="H270" i="8" s="1"/>
  <c r="H275" i="8" s="1"/>
  <c r="H280" i="8" s="1"/>
  <c r="H285" i="8" s="1"/>
  <c r="H290" i="8" s="1"/>
  <c r="H295" i="8" s="1"/>
  <c r="H300" i="8" s="1"/>
  <c r="H11" i="8"/>
  <c r="H12" i="8"/>
  <c r="H13" i="8"/>
  <c r="H14" i="8"/>
  <c r="H19" i="8" s="1"/>
  <c r="H24" i="8" s="1"/>
  <c r="H29" i="8" s="1"/>
  <c r="H34" i="8" s="1"/>
  <c r="H39" i="8" s="1"/>
  <c r="H44" i="8" s="1"/>
  <c r="H49" i="8" s="1"/>
  <c r="H54" i="8" s="1"/>
  <c r="H59" i="8" s="1"/>
  <c r="H64" i="8" s="1"/>
  <c r="H69" i="8" s="1"/>
  <c r="H74" i="8" s="1"/>
  <c r="H79" i="8" s="1"/>
  <c r="H84" i="8" s="1"/>
  <c r="H89" i="8" s="1"/>
  <c r="H94" i="8" s="1"/>
  <c r="H99" i="8" s="1"/>
  <c r="H104" i="8" s="1"/>
  <c r="H109" i="8" s="1"/>
  <c r="H114" i="8" s="1"/>
  <c r="H119" i="8" s="1"/>
  <c r="H124" i="8" s="1"/>
  <c r="H129" i="8" s="1"/>
  <c r="H134" i="8" s="1"/>
  <c r="H139" i="8" s="1"/>
  <c r="H144" i="8" s="1"/>
  <c r="H149" i="8" s="1"/>
  <c r="H154" i="8" s="1"/>
  <c r="H159" i="8" s="1"/>
  <c r="H164" i="8" s="1"/>
  <c r="H169" i="8" s="1"/>
  <c r="H174" i="8" s="1"/>
  <c r="H179" i="8" s="1"/>
  <c r="H184" i="8" s="1"/>
  <c r="H189" i="8" s="1"/>
  <c r="H194" i="8" s="1"/>
  <c r="H199" i="8" s="1"/>
  <c r="H204" i="8" s="1"/>
  <c r="H209" i="8" s="1"/>
  <c r="H214" i="8" s="1"/>
  <c r="H219" i="8" s="1"/>
  <c r="H224" i="8" s="1"/>
  <c r="H229" i="8" s="1"/>
  <c r="H234" i="8" s="1"/>
  <c r="H239" i="8" s="1"/>
  <c r="H244" i="8" s="1"/>
  <c r="H249" i="8" s="1"/>
  <c r="H254" i="8" s="1"/>
  <c r="H259" i="8" s="1"/>
  <c r="H264" i="8" s="1"/>
  <c r="H269" i="8" s="1"/>
  <c r="H274" i="8" s="1"/>
  <c r="H279" i="8" s="1"/>
  <c r="H284" i="8" s="1"/>
  <c r="H289" i="8" s="1"/>
  <c r="H294" i="8" s="1"/>
  <c r="H299" i="8" s="1"/>
  <c r="H16" i="8"/>
  <c r="H21" i="8" s="1"/>
  <c r="H26" i="8" s="1"/>
  <c r="H31" i="8" s="1"/>
  <c r="H36" i="8" s="1"/>
  <c r="H41" i="8" s="1"/>
  <c r="H46" i="8" s="1"/>
  <c r="H51" i="8" s="1"/>
  <c r="H56" i="8" s="1"/>
  <c r="H61" i="8" s="1"/>
  <c r="H66" i="8" s="1"/>
  <c r="H71" i="8" s="1"/>
  <c r="H76" i="8" s="1"/>
  <c r="H81" i="8" s="1"/>
  <c r="H86" i="8" s="1"/>
  <c r="H91" i="8" s="1"/>
  <c r="H96" i="8" s="1"/>
  <c r="H101" i="8" s="1"/>
  <c r="H106" i="8" s="1"/>
  <c r="H111" i="8" s="1"/>
  <c r="H116" i="8" s="1"/>
  <c r="H121" i="8" s="1"/>
  <c r="H126" i="8" s="1"/>
  <c r="H131" i="8" s="1"/>
  <c r="H136" i="8" s="1"/>
  <c r="H141" i="8" s="1"/>
  <c r="H146" i="8" s="1"/>
  <c r="H151" i="8" s="1"/>
  <c r="H156" i="8" s="1"/>
  <c r="H161" i="8" s="1"/>
  <c r="H166" i="8" s="1"/>
  <c r="H171" i="8" s="1"/>
  <c r="H176" i="8" s="1"/>
  <c r="H181" i="8" s="1"/>
  <c r="H186" i="8" s="1"/>
  <c r="H191" i="8" s="1"/>
  <c r="H196" i="8" s="1"/>
  <c r="H201" i="8" s="1"/>
  <c r="H206" i="8" s="1"/>
  <c r="H211" i="8" s="1"/>
  <c r="H216" i="8" s="1"/>
  <c r="H221" i="8" s="1"/>
  <c r="H226" i="8" s="1"/>
  <c r="H231" i="8" s="1"/>
  <c r="H236" i="8" s="1"/>
  <c r="H241" i="8" s="1"/>
  <c r="H246" i="8" s="1"/>
  <c r="H251" i="8" s="1"/>
  <c r="H256" i="8" s="1"/>
  <c r="H261" i="8" s="1"/>
  <c r="H266" i="8" s="1"/>
  <c r="H271" i="8" s="1"/>
  <c r="H276" i="8" s="1"/>
  <c r="H281" i="8" s="1"/>
  <c r="H286" i="8" s="1"/>
  <c r="H291" i="8" s="1"/>
  <c r="H296" i="8" s="1"/>
  <c r="H301" i="8" s="1"/>
  <c r="H17" i="8"/>
  <c r="H22" i="8" s="1"/>
  <c r="H27" i="8" s="1"/>
  <c r="H32" i="8" s="1"/>
  <c r="H37" i="8" s="1"/>
  <c r="H42" i="8" s="1"/>
  <c r="H47" i="8" s="1"/>
  <c r="H52" i="8" s="1"/>
  <c r="H57" i="8" s="1"/>
  <c r="H62" i="8" s="1"/>
  <c r="H67" i="8" s="1"/>
  <c r="H72" i="8" s="1"/>
  <c r="H77" i="8" s="1"/>
  <c r="H82" i="8" s="1"/>
  <c r="H87" i="8" s="1"/>
  <c r="H92" i="8" s="1"/>
  <c r="H97" i="8" s="1"/>
  <c r="H102" i="8" s="1"/>
  <c r="H107" i="8" s="1"/>
  <c r="H112" i="8" s="1"/>
  <c r="H117" i="8" s="1"/>
  <c r="H122" i="8" s="1"/>
  <c r="H127" i="8" s="1"/>
  <c r="H132" i="8" s="1"/>
  <c r="H137" i="8" s="1"/>
  <c r="H142" i="8" s="1"/>
  <c r="H147" i="8" s="1"/>
  <c r="H152" i="8" s="1"/>
  <c r="H157" i="8" s="1"/>
  <c r="H162" i="8" s="1"/>
  <c r="H167" i="8" s="1"/>
  <c r="H172" i="8" s="1"/>
  <c r="H177" i="8" s="1"/>
  <c r="H182" i="8" s="1"/>
  <c r="H187" i="8" s="1"/>
  <c r="H192" i="8" s="1"/>
  <c r="H197" i="8" s="1"/>
  <c r="H202" i="8" s="1"/>
  <c r="H207" i="8" s="1"/>
  <c r="H212" i="8" s="1"/>
  <c r="H217" i="8" s="1"/>
  <c r="H222" i="8" s="1"/>
  <c r="H227" i="8" s="1"/>
  <c r="H232" i="8" s="1"/>
  <c r="H237" i="8" s="1"/>
  <c r="H242" i="8" s="1"/>
  <c r="H247" i="8" s="1"/>
  <c r="H252" i="8" s="1"/>
  <c r="H257" i="8" s="1"/>
  <c r="H262" i="8" s="1"/>
  <c r="H267" i="8" s="1"/>
  <c r="H272" i="8" s="1"/>
  <c r="H277" i="8" s="1"/>
  <c r="H282" i="8" s="1"/>
  <c r="H287" i="8" s="1"/>
  <c r="H292" i="8" s="1"/>
  <c r="H297" i="8" s="1"/>
  <c r="H302" i="8" s="1"/>
  <c r="H18" i="8"/>
  <c r="H23" i="8" s="1"/>
  <c r="H28" i="8" s="1"/>
  <c r="H33" i="8" s="1"/>
  <c r="H38" i="8" s="1"/>
  <c r="H43" i="8" s="1"/>
  <c r="H48" i="8" s="1"/>
  <c r="H53" i="8" s="1"/>
  <c r="H58" i="8" s="1"/>
  <c r="H63" i="8" s="1"/>
  <c r="H68" i="8" s="1"/>
  <c r="H73" i="8" s="1"/>
  <c r="H78" i="8" s="1"/>
  <c r="H83" i="8" s="1"/>
  <c r="H88" i="8" s="1"/>
  <c r="H93" i="8" s="1"/>
  <c r="H98" i="8" s="1"/>
  <c r="H103" i="8" s="1"/>
  <c r="H108" i="8" s="1"/>
  <c r="H113" i="8" s="1"/>
  <c r="H118" i="8" s="1"/>
  <c r="H123" i="8" s="1"/>
  <c r="H128" i="8" s="1"/>
  <c r="H133" i="8" s="1"/>
  <c r="H138" i="8" s="1"/>
  <c r="H143" i="8" s="1"/>
  <c r="H148" i="8" s="1"/>
  <c r="H153" i="8" s="1"/>
  <c r="H158" i="8" s="1"/>
  <c r="H163" i="8" s="1"/>
  <c r="H168" i="8" s="1"/>
  <c r="H173" i="8" s="1"/>
  <c r="H178" i="8" s="1"/>
  <c r="H183" i="8" s="1"/>
  <c r="H188" i="8" s="1"/>
  <c r="H193" i="8" s="1"/>
  <c r="H198" i="8" s="1"/>
  <c r="H203" i="8" s="1"/>
  <c r="H208" i="8" s="1"/>
  <c r="H213" i="8" s="1"/>
  <c r="H218" i="8" s="1"/>
  <c r="H223" i="8" s="1"/>
  <c r="H228" i="8" s="1"/>
  <c r="H233" i="8" s="1"/>
  <c r="H238" i="8" s="1"/>
  <c r="H243" i="8" s="1"/>
  <c r="H248" i="8" s="1"/>
  <c r="H253" i="8" s="1"/>
  <c r="H258" i="8" s="1"/>
  <c r="H263" i="8" s="1"/>
  <c r="H268" i="8" s="1"/>
  <c r="H273" i="8" s="1"/>
  <c r="H278" i="8" s="1"/>
  <c r="H283" i="8" s="1"/>
  <c r="H288" i="8" s="1"/>
  <c r="H293" i="8" s="1"/>
  <c r="H298" i="8" s="1"/>
  <c r="H303" i="8" s="1"/>
  <c r="H9" i="8"/>
  <c r="M48" i="6" l="1"/>
  <c r="N48" i="6"/>
  <c r="O48" i="6"/>
  <c r="P48" i="6"/>
  <c r="Q48" i="6"/>
  <c r="R48" i="6"/>
  <c r="S48" i="6"/>
  <c r="T48" i="6"/>
  <c r="U48" i="6"/>
  <c r="V48" i="6"/>
  <c r="W48" i="6"/>
  <c r="X48" i="6"/>
  <c r="Y48" i="6"/>
  <c r="Z48" i="6"/>
  <c r="AA48" i="6"/>
  <c r="AB48" i="6"/>
  <c r="AC48" i="6"/>
  <c r="AD48" i="6"/>
  <c r="AE48" i="6"/>
  <c r="M49" i="6"/>
  <c r="N49" i="6"/>
  <c r="O49" i="6"/>
  <c r="P49" i="6"/>
  <c r="Q49" i="6"/>
  <c r="R49" i="6"/>
  <c r="S49" i="6"/>
  <c r="T49" i="6"/>
  <c r="U49" i="6"/>
  <c r="V49" i="6"/>
  <c r="W49" i="6"/>
  <c r="X49" i="6"/>
  <c r="Y49" i="6"/>
  <c r="Z49" i="6"/>
  <c r="AA49" i="6"/>
  <c r="AB49" i="6"/>
  <c r="AC49" i="6"/>
  <c r="AD49" i="6"/>
  <c r="AE49" i="6"/>
  <c r="M50" i="6"/>
  <c r="N50" i="6"/>
  <c r="O50" i="6"/>
  <c r="P50" i="6"/>
  <c r="Q50" i="6"/>
  <c r="R50" i="6"/>
  <c r="S50" i="6"/>
  <c r="T50" i="6"/>
  <c r="U50" i="6"/>
  <c r="V50" i="6"/>
  <c r="W50" i="6"/>
  <c r="X50" i="6"/>
  <c r="Y50" i="6"/>
  <c r="Z50" i="6"/>
  <c r="AA50" i="6"/>
  <c r="AB50" i="6"/>
  <c r="AC50" i="6"/>
  <c r="AD50" i="6"/>
  <c r="AE50" i="6"/>
  <c r="M51" i="6"/>
  <c r="N51" i="6"/>
  <c r="O51" i="6"/>
  <c r="P51" i="6"/>
  <c r="Q51" i="6"/>
  <c r="R51" i="6"/>
  <c r="S51" i="6"/>
  <c r="T51" i="6"/>
  <c r="U51" i="6"/>
  <c r="V51" i="6"/>
  <c r="W51" i="6"/>
  <c r="X51" i="6"/>
  <c r="Y51" i="6"/>
  <c r="Z51" i="6"/>
  <c r="AA51" i="6"/>
  <c r="AB51" i="6"/>
  <c r="AC51" i="6"/>
  <c r="AD51" i="6"/>
  <c r="AE51" i="6"/>
  <c r="M52" i="6"/>
  <c r="N52" i="6"/>
  <c r="O52" i="6"/>
  <c r="P52" i="6"/>
  <c r="Q52" i="6"/>
  <c r="R52" i="6"/>
  <c r="S52" i="6"/>
  <c r="T52" i="6"/>
  <c r="U52" i="6"/>
  <c r="V52" i="6"/>
  <c r="W52" i="6"/>
  <c r="X52" i="6"/>
  <c r="Y52" i="6"/>
  <c r="Z52" i="6"/>
  <c r="AA52" i="6"/>
  <c r="AB52" i="6"/>
  <c r="AC52" i="6"/>
  <c r="AD52" i="6"/>
  <c r="AE52" i="6"/>
  <c r="M53" i="6"/>
  <c r="N53" i="6"/>
  <c r="O53" i="6"/>
  <c r="P53" i="6"/>
  <c r="Q53" i="6"/>
  <c r="R53" i="6"/>
  <c r="S53" i="6"/>
  <c r="T53" i="6"/>
  <c r="U53" i="6"/>
  <c r="V53" i="6"/>
  <c r="W53" i="6"/>
  <c r="X53" i="6"/>
  <c r="Y53" i="6"/>
  <c r="Z53" i="6"/>
  <c r="AA53" i="6"/>
  <c r="AB53" i="6"/>
  <c r="AC53" i="6"/>
  <c r="AD53" i="6"/>
  <c r="AE53" i="6"/>
  <c r="M54" i="6"/>
  <c r="N54" i="6"/>
  <c r="O54" i="6"/>
  <c r="P54" i="6"/>
  <c r="Q54" i="6"/>
  <c r="R54" i="6"/>
  <c r="S54" i="6"/>
  <c r="T54" i="6"/>
  <c r="U54" i="6"/>
  <c r="V54" i="6"/>
  <c r="W54" i="6"/>
  <c r="X54" i="6"/>
  <c r="Y54" i="6"/>
  <c r="Z54" i="6"/>
  <c r="AA54" i="6"/>
  <c r="AB54" i="6"/>
  <c r="AC54" i="6"/>
  <c r="AD54" i="6"/>
  <c r="AE54" i="6"/>
  <c r="M55" i="6"/>
  <c r="N55" i="6"/>
  <c r="O55" i="6"/>
  <c r="P55" i="6"/>
  <c r="Q55" i="6"/>
  <c r="R55" i="6"/>
  <c r="S55" i="6"/>
  <c r="T55" i="6"/>
  <c r="U55" i="6"/>
  <c r="V55" i="6"/>
  <c r="W55" i="6"/>
  <c r="X55" i="6"/>
  <c r="Y55" i="6"/>
  <c r="Z55" i="6"/>
  <c r="AA55" i="6"/>
  <c r="AB55" i="6"/>
  <c r="AC55" i="6"/>
  <c r="AD55" i="6"/>
  <c r="AE55" i="6"/>
  <c r="M56" i="6"/>
  <c r="N56" i="6"/>
  <c r="O56" i="6"/>
  <c r="P56" i="6"/>
  <c r="Q56" i="6"/>
  <c r="R56" i="6"/>
  <c r="S56" i="6"/>
  <c r="T56" i="6"/>
  <c r="U56" i="6"/>
  <c r="V56" i="6"/>
  <c r="W56" i="6"/>
  <c r="X56" i="6"/>
  <c r="Y56" i="6"/>
  <c r="Z56" i="6"/>
  <c r="AA56" i="6"/>
  <c r="AB56" i="6"/>
  <c r="AC56" i="6"/>
  <c r="AD56" i="6"/>
  <c r="AE56" i="6"/>
  <c r="M57" i="6"/>
  <c r="N57" i="6"/>
  <c r="O57" i="6"/>
  <c r="P57" i="6"/>
  <c r="Q57" i="6"/>
  <c r="R57" i="6"/>
  <c r="S57" i="6"/>
  <c r="T57" i="6"/>
  <c r="U57" i="6"/>
  <c r="V57" i="6"/>
  <c r="W57" i="6"/>
  <c r="X57" i="6"/>
  <c r="Y57" i="6"/>
  <c r="Z57" i="6"/>
  <c r="AA57" i="6"/>
  <c r="AB57" i="6"/>
  <c r="AC57" i="6"/>
  <c r="AD57" i="6"/>
  <c r="AE57" i="6"/>
  <c r="M58" i="6"/>
  <c r="N58" i="6"/>
  <c r="O58" i="6"/>
  <c r="P58" i="6"/>
  <c r="Q58" i="6"/>
  <c r="R58" i="6"/>
  <c r="S58" i="6"/>
  <c r="T58" i="6"/>
  <c r="U58" i="6"/>
  <c r="V58" i="6"/>
  <c r="W58" i="6"/>
  <c r="X58" i="6"/>
  <c r="Y58" i="6"/>
  <c r="Z58" i="6"/>
  <c r="AA58" i="6"/>
  <c r="AB58" i="6"/>
  <c r="AC58" i="6"/>
  <c r="AD58" i="6"/>
  <c r="AE58" i="6"/>
  <c r="M59" i="6"/>
  <c r="N59" i="6"/>
  <c r="O59" i="6"/>
  <c r="P59" i="6"/>
  <c r="Q59" i="6"/>
  <c r="R59" i="6"/>
  <c r="S59" i="6"/>
  <c r="T59" i="6"/>
  <c r="U59" i="6"/>
  <c r="V59" i="6"/>
  <c r="W59" i="6"/>
  <c r="X59" i="6"/>
  <c r="Y59" i="6"/>
  <c r="Z59" i="6"/>
  <c r="AA59" i="6"/>
  <c r="AB59" i="6"/>
  <c r="AC59" i="6"/>
  <c r="AD59" i="6"/>
  <c r="AE59" i="6"/>
  <c r="M60" i="6"/>
  <c r="N60" i="6"/>
  <c r="O60" i="6"/>
  <c r="P60" i="6"/>
  <c r="Q60" i="6"/>
  <c r="R60" i="6"/>
  <c r="S60" i="6"/>
  <c r="T60" i="6"/>
  <c r="U60" i="6"/>
  <c r="V60" i="6"/>
  <c r="W60" i="6"/>
  <c r="X60" i="6"/>
  <c r="Y60" i="6"/>
  <c r="Z60" i="6"/>
  <c r="AA60" i="6"/>
  <c r="AB60" i="6"/>
  <c r="AC60" i="6"/>
  <c r="AD60" i="6"/>
  <c r="AE60" i="6"/>
  <c r="M61" i="6"/>
  <c r="N61" i="6"/>
  <c r="O61" i="6"/>
  <c r="P61" i="6"/>
  <c r="Q61" i="6"/>
  <c r="R61" i="6"/>
  <c r="S61" i="6"/>
  <c r="T61" i="6"/>
  <c r="U61" i="6"/>
  <c r="V61" i="6"/>
  <c r="W61" i="6"/>
  <c r="X61" i="6"/>
  <c r="Y61" i="6"/>
  <c r="Z61" i="6"/>
  <c r="AA61" i="6"/>
  <c r="AB61" i="6"/>
  <c r="AC61" i="6"/>
  <c r="AD61" i="6"/>
  <c r="AE61" i="6"/>
  <c r="M62" i="6"/>
  <c r="N62" i="6"/>
  <c r="O62" i="6"/>
  <c r="P62" i="6"/>
  <c r="Q62" i="6"/>
  <c r="R62" i="6"/>
  <c r="S62" i="6"/>
  <c r="T62" i="6"/>
  <c r="U62" i="6"/>
  <c r="V62" i="6"/>
  <c r="W62" i="6"/>
  <c r="X62" i="6"/>
  <c r="Y62" i="6"/>
  <c r="Z62" i="6"/>
  <c r="AA62" i="6"/>
  <c r="AB62" i="6"/>
  <c r="AC62" i="6"/>
  <c r="AD62" i="6"/>
  <c r="AE62" i="6"/>
  <c r="M63" i="6"/>
  <c r="N63" i="6"/>
  <c r="O63" i="6"/>
  <c r="P63" i="6"/>
  <c r="Q63" i="6"/>
  <c r="R63" i="6"/>
  <c r="S63" i="6"/>
  <c r="T63" i="6"/>
  <c r="U63" i="6"/>
  <c r="V63" i="6"/>
  <c r="W63" i="6"/>
  <c r="X63" i="6"/>
  <c r="Y63" i="6"/>
  <c r="Z63" i="6"/>
  <c r="AA63" i="6"/>
  <c r="AB63" i="6"/>
  <c r="AC63" i="6"/>
  <c r="AD63" i="6"/>
  <c r="AE63" i="6"/>
  <c r="M5" i="6"/>
  <c r="N5" i="6"/>
  <c r="O5" i="6"/>
  <c r="P5" i="6"/>
  <c r="Q5" i="6"/>
  <c r="R5" i="6"/>
  <c r="S5" i="6"/>
  <c r="T5" i="6"/>
  <c r="U5" i="6"/>
  <c r="V5" i="6"/>
  <c r="W5" i="6"/>
  <c r="X5" i="6"/>
  <c r="Y5" i="6"/>
  <c r="Z5" i="6"/>
  <c r="AA5" i="6"/>
  <c r="AB5" i="6"/>
  <c r="AC5" i="6"/>
  <c r="AD5" i="6"/>
  <c r="AE5" i="6"/>
  <c r="M6" i="6"/>
  <c r="N6" i="6"/>
  <c r="O6" i="6"/>
  <c r="P6" i="6"/>
  <c r="Q6" i="6"/>
  <c r="R6" i="6"/>
  <c r="S6" i="6"/>
  <c r="T6" i="6"/>
  <c r="U6" i="6"/>
  <c r="V6" i="6"/>
  <c r="W6" i="6"/>
  <c r="X6" i="6"/>
  <c r="Y6" i="6"/>
  <c r="Z6" i="6"/>
  <c r="AA6" i="6"/>
  <c r="AB6" i="6"/>
  <c r="AC6" i="6"/>
  <c r="AD6" i="6"/>
  <c r="AE6" i="6"/>
  <c r="M7" i="6"/>
  <c r="N7" i="6"/>
  <c r="O7" i="6"/>
  <c r="P7" i="6"/>
  <c r="Q7" i="6"/>
  <c r="R7" i="6"/>
  <c r="S7" i="6"/>
  <c r="T7" i="6"/>
  <c r="U7" i="6"/>
  <c r="V7" i="6"/>
  <c r="W7" i="6"/>
  <c r="X7" i="6"/>
  <c r="Y7" i="6"/>
  <c r="Z7" i="6"/>
  <c r="AA7" i="6"/>
  <c r="AB7" i="6"/>
  <c r="AC7" i="6"/>
  <c r="AD7" i="6"/>
  <c r="AE7" i="6"/>
  <c r="M8" i="6"/>
  <c r="N8" i="6"/>
  <c r="O8" i="6"/>
  <c r="P8" i="6"/>
  <c r="Q8" i="6"/>
  <c r="R8" i="6"/>
  <c r="S8" i="6"/>
  <c r="T8" i="6"/>
  <c r="U8" i="6"/>
  <c r="V8" i="6"/>
  <c r="W8" i="6"/>
  <c r="X8" i="6"/>
  <c r="Y8" i="6"/>
  <c r="Z8" i="6"/>
  <c r="AA8" i="6"/>
  <c r="AB8" i="6"/>
  <c r="AC8" i="6"/>
  <c r="AD8" i="6"/>
  <c r="AE8" i="6"/>
  <c r="M9" i="6"/>
  <c r="N9" i="6"/>
  <c r="O9" i="6"/>
  <c r="P9" i="6"/>
  <c r="Q9" i="6"/>
  <c r="R9" i="6"/>
  <c r="S9" i="6"/>
  <c r="T9" i="6"/>
  <c r="U9" i="6"/>
  <c r="V9" i="6"/>
  <c r="W9" i="6"/>
  <c r="X9" i="6"/>
  <c r="Y9" i="6"/>
  <c r="Z9" i="6"/>
  <c r="AA9" i="6"/>
  <c r="AB9" i="6"/>
  <c r="AC9" i="6"/>
  <c r="AD9" i="6"/>
  <c r="AE9" i="6"/>
  <c r="M10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M11" i="6"/>
  <c r="N11" i="6"/>
  <c r="O11" i="6"/>
  <c r="P11" i="6"/>
  <c r="Q11" i="6"/>
  <c r="R11" i="6"/>
  <c r="S11" i="6"/>
  <c r="T11" i="6"/>
  <c r="U11" i="6"/>
  <c r="V11" i="6"/>
  <c r="W11" i="6"/>
  <c r="X11" i="6"/>
  <c r="Y11" i="6"/>
  <c r="Z11" i="6"/>
  <c r="AA11" i="6"/>
  <c r="AB11" i="6"/>
  <c r="AC11" i="6"/>
  <c r="AD11" i="6"/>
  <c r="AE11" i="6"/>
  <c r="M12" i="6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M13" i="6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M14" i="6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M15" i="6"/>
  <c r="N15" i="6"/>
  <c r="O15" i="6"/>
  <c r="P15" i="6"/>
  <c r="Q15" i="6"/>
  <c r="R15" i="6"/>
  <c r="S15" i="6"/>
  <c r="T15" i="6"/>
  <c r="U15" i="6"/>
  <c r="V15" i="6"/>
  <c r="W15" i="6"/>
  <c r="X15" i="6"/>
  <c r="Y15" i="6"/>
  <c r="Z15" i="6"/>
  <c r="AA15" i="6"/>
  <c r="AB15" i="6"/>
  <c r="AC15" i="6"/>
  <c r="AD15" i="6"/>
  <c r="AE15" i="6"/>
  <c r="M16" i="6"/>
  <c r="N16" i="6"/>
  <c r="O16" i="6"/>
  <c r="P16" i="6"/>
  <c r="Q16" i="6"/>
  <c r="R16" i="6"/>
  <c r="S16" i="6"/>
  <c r="T16" i="6"/>
  <c r="U16" i="6"/>
  <c r="V16" i="6"/>
  <c r="W16" i="6"/>
  <c r="X16" i="6"/>
  <c r="Y16" i="6"/>
  <c r="Z16" i="6"/>
  <c r="AA16" i="6"/>
  <c r="AB16" i="6"/>
  <c r="AC16" i="6"/>
  <c r="AD16" i="6"/>
  <c r="AE16" i="6"/>
  <c r="M17" i="6"/>
  <c r="N17" i="6"/>
  <c r="O17" i="6"/>
  <c r="P17" i="6"/>
  <c r="Q17" i="6"/>
  <c r="R17" i="6"/>
  <c r="S17" i="6"/>
  <c r="T17" i="6"/>
  <c r="U17" i="6"/>
  <c r="V17" i="6"/>
  <c r="W17" i="6"/>
  <c r="X17" i="6"/>
  <c r="Y17" i="6"/>
  <c r="Z17" i="6"/>
  <c r="AA17" i="6"/>
  <c r="AB17" i="6"/>
  <c r="AC17" i="6"/>
  <c r="AD17" i="6"/>
  <c r="AE17" i="6"/>
  <c r="M18" i="6"/>
  <c r="N18" i="6"/>
  <c r="O18" i="6"/>
  <c r="P18" i="6"/>
  <c r="Q18" i="6"/>
  <c r="R18" i="6"/>
  <c r="S18" i="6"/>
  <c r="T18" i="6"/>
  <c r="U18" i="6"/>
  <c r="V18" i="6"/>
  <c r="W18" i="6"/>
  <c r="X18" i="6"/>
  <c r="Y18" i="6"/>
  <c r="Z18" i="6"/>
  <c r="AA18" i="6"/>
  <c r="AB18" i="6"/>
  <c r="AC18" i="6"/>
  <c r="AD18" i="6"/>
  <c r="AE18" i="6"/>
  <c r="M19" i="6"/>
  <c r="N19" i="6"/>
  <c r="O19" i="6"/>
  <c r="P19" i="6"/>
  <c r="Q19" i="6"/>
  <c r="R19" i="6"/>
  <c r="S19" i="6"/>
  <c r="T19" i="6"/>
  <c r="U19" i="6"/>
  <c r="V19" i="6"/>
  <c r="W19" i="6"/>
  <c r="X19" i="6"/>
  <c r="Y19" i="6"/>
  <c r="Z19" i="6"/>
  <c r="AA19" i="6"/>
  <c r="AB19" i="6"/>
  <c r="AC19" i="6"/>
  <c r="AD19" i="6"/>
  <c r="AE19" i="6"/>
  <c r="M20" i="6"/>
  <c r="N20" i="6"/>
  <c r="O20" i="6"/>
  <c r="P20" i="6"/>
  <c r="Q20" i="6"/>
  <c r="R20" i="6"/>
  <c r="S20" i="6"/>
  <c r="T20" i="6"/>
  <c r="U20" i="6"/>
  <c r="V20" i="6"/>
  <c r="W20" i="6"/>
  <c r="X20" i="6"/>
  <c r="Y20" i="6"/>
  <c r="Z20" i="6"/>
  <c r="AA20" i="6"/>
  <c r="AB20" i="6"/>
  <c r="AC20" i="6"/>
  <c r="AD20" i="6"/>
  <c r="AE20" i="6"/>
  <c r="M21" i="6"/>
  <c r="N21" i="6"/>
  <c r="O21" i="6"/>
  <c r="P21" i="6"/>
  <c r="Q21" i="6"/>
  <c r="R21" i="6"/>
  <c r="S21" i="6"/>
  <c r="T21" i="6"/>
  <c r="U21" i="6"/>
  <c r="V21" i="6"/>
  <c r="W21" i="6"/>
  <c r="X21" i="6"/>
  <c r="Y21" i="6"/>
  <c r="Z21" i="6"/>
  <c r="AA21" i="6"/>
  <c r="AB21" i="6"/>
  <c r="AC21" i="6"/>
  <c r="AD21" i="6"/>
  <c r="AE21" i="6"/>
  <c r="M22" i="6"/>
  <c r="N22" i="6"/>
  <c r="O22" i="6"/>
  <c r="P22" i="6"/>
  <c r="Q22" i="6"/>
  <c r="R22" i="6"/>
  <c r="S22" i="6"/>
  <c r="T22" i="6"/>
  <c r="U22" i="6"/>
  <c r="V22" i="6"/>
  <c r="W22" i="6"/>
  <c r="X22" i="6"/>
  <c r="Y22" i="6"/>
  <c r="Z22" i="6"/>
  <c r="AA22" i="6"/>
  <c r="AB22" i="6"/>
  <c r="AC22" i="6"/>
  <c r="AD22" i="6"/>
  <c r="AE22" i="6"/>
  <c r="M23" i="6"/>
  <c r="N23" i="6"/>
  <c r="O23" i="6"/>
  <c r="P23" i="6"/>
  <c r="Q23" i="6"/>
  <c r="R23" i="6"/>
  <c r="S23" i="6"/>
  <c r="T23" i="6"/>
  <c r="U23" i="6"/>
  <c r="V23" i="6"/>
  <c r="W23" i="6"/>
  <c r="X23" i="6"/>
  <c r="Y23" i="6"/>
  <c r="Z23" i="6"/>
  <c r="AA23" i="6"/>
  <c r="AB23" i="6"/>
  <c r="AC23" i="6"/>
  <c r="AD23" i="6"/>
  <c r="AE23" i="6"/>
  <c r="M24" i="6"/>
  <c r="N24" i="6"/>
  <c r="O24" i="6"/>
  <c r="P24" i="6"/>
  <c r="Q24" i="6"/>
  <c r="R24" i="6"/>
  <c r="S24" i="6"/>
  <c r="T24" i="6"/>
  <c r="U24" i="6"/>
  <c r="V24" i="6"/>
  <c r="W24" i="6"/>
  <c r="X24" i="6"/>
  <c r="Y24" i="6"/>
  <c r="Z24" i="6"/>
  <c r="AA24" i="6"/>
  <c r="AB24" i="6"/>
  <c r="AC24" i="6"/>
  <c r="AD24" i="6"/>
  <c r="AE24" i="6"/>
  <c r="M25" i="6"/>
  <c r="N25" i="6"/>
  <c r="O25" i="6"/>
  <c r="P25" i="6"/>
  <c r="Q25" i="6"/>
  <c r="R25" i="6"/>
  <c r="S25" i="6"/>
  <c r="T25" i="6"/>
  <c r="U25" i="6"/>
  <c r="V25" i="6"/>
  <c r="W25" i="6"/>
  <c r="X25" i="6"/>
  <c r="Y25" i="6"/>
  <c r="Z25" i="6"/>
  <c r="AA25" i="6"/>
  <c r="AB25" i="6"/>
  <c r="AC25" i="6"/>
  <c r="AD25" i="6"/>
  <c r="AE25" i="6"/>
  <c r="M26" i="6"/>
  <c r="N26" i="6"/>
  <c r="O26" i="6"/>
  <c r="P26" i="6"/>
  <c r="Q26" i="6"/>
  <c r="R26" i="6"/>
  <c r="S26" i="6"/>
  <c r="T26" i="6"/>
  <c r="U26" i="6"/>
  <c r="V26" i="6"/>
  <c r="W26" i="6"/>
  <c r="X26" i="6"/>
  <c r="Y26" i="6"/>
  <c r="Z26" i="6"/>
  <c r="AA26" i="6"/>
  <c r="AB26" i="6"/>
  <c r="AC26" i="6"/>
  <c r="AD26" i="6"/>
  <c r="AE26" i="6"/>
  <c r="M27" i="6"/>
  <c r="N27" i="6"/>
  <c r="O27" i="6"/>
  <c r="P27" i="6"/>
  <c r="Q27" i="6"/>
  <c r="R27" i="6"/>
  <c r="S27" i="6"/>
  <c r="T27" i="6"/>
  <c r="U27" i="6"/>
  <c r="V27" i="6"/>
  <c r="W27" i="6"/>
  <c r="X27" i="6"/>
  <c r="Y27" i="6"/>
  <c r="Z27" i="6"/>
  <c r="AA27" i="6"/>
  <c r="AB27" i="6"/>
  <c r="AC27" i="6"/>
  <c r="AD27" i="6"/>
  <c r="AE27" i="6"/>
  <c r="M28" i="6"/>
  <c r="N28" i="6"/>
  <c r="O28" i="6"/>
  <c r="P28" i="6"/>
  <c r="Q28" i="6"/>
  <c r="R28" i="6"/>
  <c r="S28" i="6"/>
  <c r="T28" i="6"/>
  <c r="U28" i="6"/>
  <c r="V28" i="6"/>
  <c r="W28" i="6"/>
  <c r="X28" i="6"/>
  <c r="Y28" i="6"/>
  <c r="Z28" i="6"/>
  <c r="AA28" i="6"/>
  <c r="AB28" i="6"/>
  <c r="AC28" i="6"/>
  <c r="AD28" i="6"/>
  <c r="AE28" i="6"/>
  <c r="M29" i="6"/>
  <c r="N29" i="6"/>
  <c r="O29" i="6"/>
  <c r="P29" i="6"/>
  <c r="Q29" i="6"/>
  <c r="R29" i="6"/>
  <c r="S29" i="6"/>
  <c r="T29" i="6"/>
  <c r="U29" i="6"/>
  <c r="V29" i="6"/>
  <c r="W29" i="6"/>
  <c r="X29" i="6"/>
  <c r="Y29" i="6"/>
  <c r="Z29" i="6"/>
  <c r="AA29" i="6"/>
  <c r="AB29" i="6"/>
  <c r="AC29" i="6"/>
  <c r="AD29" i="6"/>
  <c r="AE29" i="6"/>
  <c r="M30" i="6"/>
  <c r="N30" i="6"/>
  <c r="O30" i="6"/>
  <c r="P30" i="6"/>
  <c r="Q30" i="6"/>
  <c r="R30" i="6"/>
  <c r="S30" i="6"/>
  <c r="T30" i="6"/>
  <c r="U30" i="6"/>
  <c r="V30" i="6"/>
  <c r="W30" i="6"/>
  <c r="X30" i="6"/>
  <c r="Y30" i="6"/>
  <c r="Z30" i="6"/>
  <c r="AA30" i="6"/>
  <c r="AB30" i="6"/>
  <c r="AC30" i="6"/>
  <c r="AD30" i="6"/>
  <c r="AE30" i="6"/>
  <c r="M31" i="6"/>
  <c r="N31" i="6"/>
  <c r="O31" i="6"/>
  <c r="P31" i="6"/>
  <c r="Q31" i="6"/>
  <c r="R31" i="6"/>
  <c r="S31" i="6"/>
  <c r="T31" i="6"/>
  <c r="U31" i="6"/>
  <c r="V31" i="6"/>
  <c r="W31" i="6"/>
  <c r="X31" i="6"/>
  <c r="Y31" i="6"/>
  <c r="Z31" i="6"/>
  <c r="AA31" i="6"/>
  <c r="AB31" i="6"/>
  <c r="AC31" i="6"/>
  <c r="AD31" i="6"/>
  <c r="AE31" i="6"/>
  <c r="M32" i="6"/>
  <c r="N32" i="6"/>
  <c r="O32" i="6"/>
  <c r="P32" i="6"/>
  <c r="Q32" i="6"/>
  <c r="R32" i="6"/>
  <c r="S32" i="6"/>
  <c r="T32" i="6"/>
  <c r="U32" i="6"/>
  <c r="V32" i="6"/>
  <c r="W32" i="6"/>
  <c r="X32" i="6"/>
  <c r="Y32" i="6"/>
  <c r="Z32" i="6"/>
  <c r="AA32" i="6"/>
  <c r="AB32" i="6"/>
  <c r="AC32" i="6"/>
  <c r="AD32" i="6"/>
  <c r="AE32" i="6"/>
  <c r="M33" i="6"/>
  <c r="N33" i="6"/>
  <c r="O33" i="6"/>
  <c r="P33" i="6"/>
  <c r="Q33" i="6"/>
  <c r="R33" i="6"/>
  <c r="S33" i="6"/>
  <c r="T33" i="6"/>
  <c r="U33" i="6"/>
  <c r="V33" i="6"/>
  <c r="W33" i="6"/>
  <c r="X33" i="6"/>
  <c r="Y33" i="6"/>
  <c r="Z33" i="6"/>
  <c r="AA33" i="6"/>
  <c r="AB33" i="6"/>
  <c r="AC33" i="6"/>
  <c r="AD33" i="6"/>
  <c r="AE33" i="6"/>
  <c r="M34" i="6"/>
  <c r="N34" i="6"/>
  <c r="O34" i="6"/>
  <c r="P34" i="6"/>
  <c r="Q34" i="6"/>
  <c r="R34" i="6"/>
  <c r="S34" i="6"/>
  <c r="T34" i="6"/>
  <c r="U34" i="6"/>
  <c r="V34" i="6"/>
  <c r="W34" i="6"/>
  <c r="X34" i="6"/>
  <c r="Y34" i="6"/>
  <c r="Z34" i="6"/>
  <c r="AA34" i="6"/>
  <c r="AB34" i="6"/>
  <c r="AC34" i="6"/>
  <c r="AD34" i="6"/>
  <c r="AE34" i="6"/>
  <c r="M35" i="6"/>
  <c r="N35" i="6"/>
  <c r="O35" i="6"/>
  <c r="P35" i="6"/>
  <c r="Q35" i="6"/>
  <c r="R35" i="6"/>
  <c r="S35" i="6"/>
  <c r="T35" i="6"/>
  <c r="U35" i="6"/>
  <c r="V35" i="6"/>
  <c r="W35" i="6"/>
  <c r="X35" i="6"/>
  <c r="Y35" i="6"/>
  <c r="Z35" i="6"/>
  <c r="AA35" i="6"/>
  <c r="AB35" i="6"/>
  <c r="AC35" i="6"/>
  <c r="AD35" i="6"/>
  <c r="AE35" i="6"/>
  <c r="M36" i="6"/>
  <c r="N36" i="6"/>
  <c r="O36" i="6"/>
  <c r="P36" i="6"/>
  <c r="Q36" i="6"/>
  <c r="R36" i="6"/>
  <c r="S36" i="6"/>
  <c r="T36" i="6"/>
  <c r="U36" i="6"/>
  <c r="V36" i="6"/>
  <c r="W36" i="6"/>
  <c r="X36" i="6"/>
  <c r="Y36" i="6"/>
  <c r="Z36" i="6"/>
  <c r="AA36" i="6"/>
  <c r="AB36" i="6"/>
  <c r="AC36" i="6"/>
  <c r="AD36" i="6"/>
  <c r="AE36" i="6"/>
  <c r="M37" i="6"/>
  <c r="N37" i="6"/>
  <c r="O37" i="6"/>
  <c r="P37" i="6"/>
  <c r="Q37" i="6"/>
  <c r="R37" i="6"/>
  <c r="S37" i="6"/>
  <c r="T37" i="6"/>
  <c r="U37" i="6"/>
  <c r="V37" i="6"/>
  <c r="W37" i="6"/>
  <c r="X37" i="6"/>
  <c r="Y37" i="6"/>
  <c r="Z37" i="6"/>
  <c r="AA37" i="6"/>
  <c r="AB37" i="6"/>
  <c r="AC37" i="6"/>
  <c r="AD37" i="6"/>
  <c r="AE37" i="6"/>
  <c r="M38" i="6"/>
  <c r="N38" i="6"/>
  <c r="O38" i="6"/>
  <c r="P38" i="6"/>
  <c r="Q38" i="6"/>
  <c r="R38" i="6"/>
  <c r="S38" i="6"/>
  <c r="T38" i="6"/>
  <c r="U38" i="6"/>
  <c r="V38" i="6"/>
  <c r="W38" i="6"/>
  <c r="X38" i="6"/>
  <c r="Y38" i="6"/>
  <c r="Z38" i="6"/>
  <c r="AA38" i="6"/>
  <c r="AB38" i="6"/>
  <c r="AC38" i="6"/>
  <c r="AD38" i="6"/>
  <c r="AE38" i="6"/>
  <c r="M39" i="6"/>
  <c r="N39" i="6"/>
  <c r="O39" i="6"/>
  <c r="P39" i="6"/>
  <c r="Q39" i="6"/>
  <c r="R39" i="6"/>
  <c r="S39" i="6"/>
  <c r="T39" i="6"/>
  <c r="U39" i="6"/>
  <c r="V39" i="6"/>
  <c r="W39" i="6"/>
  <c r="X39" i="6"/>
  <c r="Y39" i="6"/>
  <c r="Z39" i="6"/>
  <c r="AA39" i="6"/>
  <c r="AB39" i="6"/>
  <c r="AC39" i="6"/>
  <c r="AD39" i="6"/>
  <c r="AE39" i="6"/>
  <c r="M40" i="6"/>
  <c r="N40" i="6"/>
  <c r="O40" i="6"/>
  <c r="P40" i="6"/>
  <c r="Q40" i="6"/>
  <c r="R40" i="6"/>
  <c r="S40" i="6"/>
  <c r="T40" i="6"/>
  <c r="U40" i="6"/>
  <c r="V40" i="6"/>
  <c r="W40" i="6"/>
  <c r="X40" i="6"/>
  <c r="Y40" i="6"/>
  <c r="Z40" i="6"/>
  <c r="AA40" i="6"/>
  <c r="AB40" i="6"/>
  <c r="AC40" i="6"/>
  <c r="AD40" i="6"/>
  <c r="AE40" i="6"/>
  <c r="M41" i="6"/>
  <c r="N41" i="6"/>
  <c r="O41" i="6"/>
  <c r="P41" i="6"/>
  <c r="Q41" i="6"/>
  <c r="R41" i="6"/>
  <c r="S41" i="6"/>
  <c r="T41" i="6"/>
  <c r="U41" i="6"/>
  <c r="V41" i="6"/>
  <c r="W41" i="6"/>
  <c r="X41" i="6"/>
  <c r="Y41" i="6"/>
  <c r="Z41" i="6"/>
  <c r="AA41" i="6"/>
  <c r="AB41" i="6"/>
  <c r="AC41" i="6"/>
  <c r="AD41" i="6"/>
  <c r="AE41" i="6"/>
  <c r="M42" i="6"/>
  <c r="N42" i="6"/>
  <c r="O42" i="6"/>
  <c r="P42" i="6"/>
  <c r="Q42" i="6"/>
  <c r="R42" i="6"/>
  <c r="S42" i="6"/>
  <c r="T42" i="6"/>
  <c r="U42" i="6"/>
  <c r="V42" i="6"/>
  <c r="W42" i="6"/>
  <c r="X42" i="6"/>
  <c r="Y42" i="6"/>
  <c r="Z42" i="6"/>
  <c r="AA42" i="6"/>
  <c r="AB42" i="6"/>
  <c r="AC42" i="6"/>
  <c r="AD42" i="6"/>
  <c r="AE42" i="6"/>
  <c r="M43" i="6"/>
  <c r="N43" i="6"/>
  <c r="O43" i="6"/>
  <c r="P43" i="6"/>
  <c r="Q43" i="6"/>
  <c r="R43" i="6"/>
  <c r="S43" i="6"/>
  <c r="T43" i="6"/>
  <c r="U43" i="6"/>
  <c r="V43" i="6"/>
  <c r="W43" i="6"/>
  <c r="X43" i="6"/>
  <c r="Y43" i="6"/>
  <c r="Z43" i="6"/>
  <c r="AA43" i="6"/>
  <c r="AB43" i="6"/>
  <c r="AC43" i="6"/>
  <c r="AD43" i="6"/>
  <c r="AE43" i="6"/>
  <c r="M44" i="6"/>
  <c r="N44" i="6"/>
  <c r="O44" i="6"/>
  <c r="P44" i="6"/>
  <c r="Q44" i="6"/>
  <c r="R44" i="6"/>
  <c r="S44" i="6"/>
  <c r="T44" i="6"/>
  <c r="U44" i="6"/>
  <c r="V44" i="6"/>
  <c r="W44" i="6"/>
  <c r="X44" i="6"/>
  <c r="Y44" i="6"/>
  <c r="Z44" i="6"/>
  <c r="AA44" i="6"/>
  <c r="AB44" i="6"/>
  <c r="AC44" i="6"/>
  <c r="AD44" i="6"/>
  <c r="AE44" i="6"/>
  <c r="M45" i="6"/>
  <c r="N45" i="6"/>
  <c r="O45" i="6"/>
  <c r="P45" i="6"/>
  <c r="Q45" i="6"/>
  <c r="R45" i="6"/>
  <c r="S45" i="6"/>
  <c r="T45" i="6"/>
  <c r="U45" i="6"/>
  <c r="V45" i="6"/>
  <c r="W45" i="6"/>
  <c r="X45" i="6"/>
  <c r="Y45" i="6"/>
  <c r="Z45" i="6"/>
  <c r="AA45" i="6"/>
  <c r="AB45" i="6"/>
  <c r="AC45" i="6"/>
  <c r="AD45" i="6"/>
  <c r="AE45" i="6"/>
  <c r="M46" i="6"/>
  <c r="N46" i="6"/>
  <c r="O46" i="6"/>
  <c r="P46" i="6"/>
  <c r="Q46" i="6"/>
  <c r="R46" i="6"/>
  <c r="S46" i="6"/>
  <c r="T46" i="6"/>
  <c r="U46" i="6"/>
  <c r="V46" i="6"/>
  <c r="W46" i="6"/>
  <c r="X46" i="6"/>
  <c r="Y46" i="6"/>
  <c r="Z46" i="6"/>
  <c r="AA46" i="6"/>
  <c r="AB46" i="6"/>
  <c r="AC46" i="6"/>
  <c r="AD46" i="6"/>
  <c r="AE46" i="6"/>
  <c r="M47" i="6"/>
  <c r="N47" i="6"/>
  <c r="O47" i="6"/>
  <c r="P47" i="6"/>
  <c r="Q47" i="6"/>
  <c r="R47" i="6"/>
  <c r="S47" i="6"/>
  <c r="T47" i="6"/>
  <c r="U47" i="6"/>
  <c r="V47" i="6"/>
  <c r="W47" i="6"/>
  <c r="X47" i="6"/>
  <c r="Y47" i="6"/>
  <c r="Z47" i="6"/>
  <c r="AA47" i="6"/>
  <c r="AB47" i="6"/>
  <c r="AC47" i="6"/>
  <c r="AD47" i="6"/>
  <c r="AE47" i="6"/>
  <c r="N4" i="6"/>
  <c r="O4" i="6"/>
  <c r="P4" i="6"/>
  <c r="Q4" i="6"/>
  <c r="R4" i="6"/>
  <c r="S4" i="6"/>
  <c r="T4" i="6"/>
  <c r="U4" i="6"/>
  <c r="V4" i="6"/>
  <c r="W4" i="6"/>
  <c r="X4" i="6"/>
  <c r="Y4" i="6"/>
  <c r="Z4" i="6"/>
  <c r="AA4" i="6"/>
  <c r="AB4" i="6"/>
  <c r="AC4" i="6"/>
  <c r="AD4" i="6"/>
  <c r="AE4" i="6"/>
  <c r="M4" i="6"/>
  <c r="T4" i="4" l="1"/>
  <c r="T5" i="4"/>
  <c r="T6" i="4"/>
  <c r="T7" i="4"/>
  <c r="T8" i="4"/>
  <c r="T9" i="4"/>
  <c r="T10" i="4"/>
  <c r="T11" i="4"/>
  <c r="T12" i="4"/>
  <c r="T13" i="4"/>
  <c r="T14" i="4"/>
  <c r="T15" i="4"/>
  <c r="T16" i="4"/>
  <c r="T17" i="4"/>
  <c r="T18" i="4"/>
  <c r="T19" i="4"/>
  <c r="T20" i="4"/>
  <c r="T21" i="4"/>
  <c r="T22" i="4"/>
  <c r="T23" i="4"/>
  <c r="T24" i="4"/>
  <c r="T25" i="4"/>
  <c r="T26" i="4"/>
  <c r="T27" i="4"/>
  <c r="T28" i="4"/>
  <c r="T29" i="4"/>
  <c r="T30" i="4"/>
  <c r="T31" i="4"/>
  <c r="T32" i="4"/>
  <c r="T33" i="4"/>
  <c r="T34" i="4"/>
  <c r="T35" i="4"/>
  <c r="T36" i="4"/>
  <c r="T37" i="4"/>
  <c r="T38" i="4"/>
  <c r="T39" i="4"/>
  <c r="T40" i="4"/>
  <c r="T41" i="4"/>
  <c r="T42" i="4"/>
  <c r="T43" i="4"/>
  <c r="T44" i="4"/>
  <c r="T45" i="4"/>
  <c r="T46" i="4"/>
  <c r="T47" i="4"/>
  <c r="T48" i="4"/>
  <c r="T49" i="4"/>
  <c r="T50" i="4"/>
  <c r="T51" i="4"/>
  <c r="T3" i="4"/>
  <c r="F4" i="2" l="1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3" i="2"/>
</calcChain>
</file>

<file path=xl/sharedStrings.xml><?xml version="1.0" encoding="utf-8"?>
<sst xmlns="http://schemas.openxmlformats.org/spreadsheetml/2006/main" count="1186" uniqueCount="500">
  <si>
    <t>功能</t>
    <phoneticPr fontId="7" type="noConversion"/>
  </si>
  <si>
    <t>玩法</t>
    <phoneticPr fontId="7" type="noConversion"/>
  </si>
  <si>
    <t>宠物背包</t>
    <phoneticPr fontId="7" type="noConversion"/>
  </si>
  <si>
    <t>称号系统</t>
    <phoneticPr fontId="7" type="noConversion"/>
  </si>
  <si>
    <t>装备系统</t>
    <phoneticPr fontId="7" type="noConversion"/>
  </si>
  <si>
    <t>属性类型</t>
    <phoneticPr fontId="7" type="noConversion"/>
  </si>
  <si>
    <t>属性名称</t>
    <phoneticPr fontId="7" type="noConversion"/>
  </si>
  <si>
    <t>战斗属性</t>
    <phoneticPr fontId="7" type="noConversion"/>
  </si>
  <si>
    <t>力量</t>
    <phoneticPr fontId="7" type="noConversion"/>
  </si>
  <si>
    <t>选择近战武器时增加基础攻击</t>
    <phoneticPr fontId="7" type="noConversion"/>
  </si>
  <si>
    <t>敏捷</t>
    <phoneticPr fontId="7" type="noConversion"/>
  </si>
  <si>
    <t>选择远程武器时增加基础攻击，并决定出手先后</t>
    <phoneticPr fontId="7" type="noConversion"/>
  </si>
  <si>
    <t>智力</t>
    <phoneticPr fontId="7" type="noConversion"/>
  </si>
  <si>
    <t>增加魔法伤害和技能释放率</t>
    <phoneticPr fontId="7" type="noConversion"/>
  </si>
  <si>
    <t>意志</t>
    <phoneticPr fontId="7" type="noConversion"/>
  </si>
  <si>
    <t>幸运</t>
    <phoneticPr fontId="7" type="noConversion"/>
  </si>
  <si>
    <t>增加暴击率和掉宝率</t>
    <phoneticPr fontId="7" type="noConversion"/>
  </si>
  <si>
    <t>释放法术时消耗</t>
    <phoneticPr fontId="7" type="noConversion"/>
  </si>
  <si>
    <t>平衡</t>
    <phoneticPr fontId="7" type="noConversion"/>
  </si>
  <si>
    <t>影响伤害的波动</t>
    <phoneticPr fontId="7" type="noConversion"/>
  </si>
  <si>
    <t>暴击</t>
    <phoneticPr fontId="7" type="noConversion"/>
  </si>
  <si>
    <t>影响暴击的概率</t>
    <phoneticPr fontId="7" type="noConversion"/>
  </si>
  <si>
    <t>暴击倍数</t>
    <phoneticPr fontId="7" type="noConversion"/>
  </si>
  <si>
    <t>影响暴击打出的伤害</t>
    <phoneticPr fontId="7" type="noConversion"/>
  </si>
  <si>
    <t>防御</t>
    <phoneticPr fontId="7" type="noConversion"/>
  </si>
  <si>
    <t>护甲</t>
    <phoneticPr fontId="7" type="noConversion"/>
  </si>
  <si>
    <t>无视护甲</t>
    <phoneticPr fontId="7" type="noConversion"/>
  </si>
  <si>
    <t>施法概率</t>
    <phoneticPr fontId="7" type="noConversion"/>
  </si>
  <si>
    <t>增加施法概率</t>
    <phoneticPr fontId="7" type="noConversion"/>
  </si>
  <si>
    <t>非战斗属性</t>
    <phoneticPr fontId="7" type="noConversion"/>
  </si>
  <si>
    <t>种族</t>
    <phoneticPr fontId="7" type="noConversion"/>
  </si>
  <si>
    <t>一级属性模板</t>
    <phoneticPr fontId="7" type="noConversion"/>
  </si>
  <si>
    <t>年龄</t>
    <phoneticPr fontId="7" type="noConversion"/>
  </si>
  <si>
    <t>属性成长</t>
    <phoneticPr fontId="7" type="noConversion"/>
  </si>
  <si>
    <t>等级</t>
    <phoneticPr fontId="7" type="noConversion"/>
  </si>
  <si>
    <t>等级提升增加AP（技能学习点数），属性成长</t>
    <phoneticPr fontId="7" type="noConversion"/>
  </si>
  <si>
    <t>掉宝率</t>
    <phoneticPr fontId="7" type="noConversion"/>
  </si>
  <si>
    <t>增加每次掉宝的品质及掉落概率</t>
    <phoneticPr fontId="7" type="noConversion"/>
  </si>
  <si>
    <t>属性说明</t>
    <phoneticPr fontId="7" type="noConversion"/>
  </si>
  <si>
    <t>属性公式</t>
    <phoneticPr fontId="7" type="noConversion"/>
  </si>
  <si>
    <t>魔法攻击</t>
    <phoneticPr fontId="7" type="noConversion"/>
  </si>
  <si>
    <t>最大攻击</t>
    <phoneticPr fontId="7" type="noConversion"/>
  </si>
  <si>
    <t>最小攻击</t>
    <phoneticPr fontId="7" type="noConversion"/>
  </si>
  <si>
    <t>影响最低的物理伤害</t>
    <phoneticPr fontId="7" type="noConversion"/>
  </si>
  <si>
    <t>血量为空，战斗失败</t>
    <phoneticPr fontId="7" type="noConversion"/>
  </si>
  <si>
    <t>最小攻击 += 力量 * 0.33，最大攻击 += 力量 * 0.4</t>
  </si>
  <si>
    <t>使用远程武器时，最小攻击 += 敏捷 * 0.33，最大攻击 += 敏捷 * 0.4</t>
  </si>
  <si>
    <t>影响最大的物理伤害</t>
  </si>
  <si>
    <t>增加暴击率和暴击伤害</t>
    <phoneticPr fontId="7" type="noConversion"/>
  </si>
  <si>
    <t>暴击 += 意志 * 0.167</t>
    <phoneticPr fontId="7" type="noConversion"/>
  </si>
  <si>
    <t>暴击 += 幸运 * 0.1</t>
    <phoneticPr fontId="7" type="noConversion"/>
  </si>
  <si>
    <t>基础值为150%，每一点加1%的伤害</t>
    <phoneticPr fontId="7" type="noConversion"/>
  </si>
  <si>
    <t>百分比降低伤害</t>
    <phoneticPr fontId="7" type="noConversion"/>
  </si>
  <si>
    <t>直接降低伤害</t>
    <phoneticPr fontId="7" type="noConversion"/>
  </si>
  <si>
    <t>无视对方直接降低伤害</t>
    <phoneticPr fontId="7" type="noConversion"/>
  </si>
  <si>
    <t>攻击</t>
    <phoneticPr fontId="7" type="noConversion"/>
  </si>
  <si>
    <t>同时增加最小攻击和最大攻击</t>
    <phoneticPr fontId="7" type="noConversion"/>
  </si>
  <si>
    <t>同时增加最小魔法攻击和最大魔法攻击</t>
    <phoneticPr fontId="7" type="noConversion"/>
  </si>
  <si>
    <t>最小魔法伤害 += 智力 * 0.66，最大魔法伤害 = 智力 * 0.8，施法概率+= 智力 / 2000</t>
    <phoneticPr fontId="7" type="noConversion"/>
  </si>
  <si>
    <t>减伤比 = 攻击 / ( 攻击 + 防御 ）</t>
    <phoneticPr fontId="7" type="noConversion"/>
  </si>
  <si>
    <t>当无视护甲&gt;对方护甲时，额外增加攻击</t>
    <phoneticPr fontId="7" type="noConversion"/>
  </si>
  <si>
    <t>物理公式</t>
    <phoneticPr fontId="7" type="noConversion"/>
  </si>
  <si>
    <t>魔法公式</t>
    <phoneticPr fontId="7" type="noConversion"/>
  </si>
  <si>
    <t>伤害 = （己方平衡后的物理伤害 * 敌方防御减伤 +己方无视护甲 - 敌方护甲）* X</t>
    <phoneticPr fontId="7" type="noConversion"/>
  </si>
  <si>
    <t>伤害 = 己方平衡后的魔法伤害 * X</t>
    <phoneticPr fontId="7" type="noConversion"/>
  </si>
  <si>
    <t>如果不暴击，X=1</t>
    <phoneticPr fontId="7" type="noConversion"/>
  </si>
  <si>
    <t>如果暴击，X=暴击倍数</t>
    <phoneticPr fontId="7" type="noConversion"/>
  </si>
  <si>
    <t>X——暴击加成：</t>
    <phoneticPr fontId="7" type="noConversion"/>
  </si>
  <si>
    <t>主属性</t>
    <phoneticPr fontId="7" type="noConversion"/>
  </si>
  <si>
    <t>强化属性</t>
    <phoneticPr fontId="7" type="noConversion"/>
  </si>
  <si>
    <t>装备名称</t>
    <phoneticPr fontId="7" type="noConversion"/>
  </si>
  <si>
    <t>装备部位</t>
    <phoneticPr fontId="7" type="noConversion"/>
  </si>
  <si>
    <t>剑</t>
    <phoneticPr fontId="7" type="noConversion"/>
  </si>
  <si>
    <t>斧</t>
    <phoneticPr fontId="7" type="noConversion"/>
  </si>
  <si>
    <t>弓</t>
    <phoneticPr fontId="7" type="noConversion"/>
  </si>
  <si>
    <t>弩</t>
    <phoneticPr fontId="7" type="noConversion"/>
  </si>
  <si>
    <t>权杖</t>
    <phoneticPr fontId="7" type="noConversion"/>
  </si>
  <si>
    <t>法杖</t>
    <phoneticPr fontId="7" type="noConversion"/>
  </si>
  <si>
    <t>匕首</t>
    <phoneticPr fontId="7" type="noConversion"/>
  </si>
  <si>
    <t>书</t>
    <phoneticPr fontId="7" type="noConversion"/>
  </si>
  <si>
    <t>盾</t>
    <phoneticPr fontId="7" type="noConversion"/>
  </si>
  <si>
    <t>布衣</t>
    <phoneticPr fontId="7" type="noConversion"/>
  </si>
  <si>
    <t>皮衣</t>
    <phoneticPr fontId="7" type="noConversion"/>
  </si>
  <si>
    <t>铠甲</t>
    <phoneticPr fontId="7" type="noConversion"/>
  </si>
  <si>
    <t>布帽</t>
    <phoneticPr fontId="7" type="noConversion"/>
  </si>
  <si>
    <t>皮帽</t>
    <phoneticPr fontId="7" type="noConversion"/>
  </si>
  <si>
    <t>头盔</t>
    <phoneticPr fontId="7" type="noConversion"/>
  </si>
  <si>
    <t>布鞋</t>
    <phoneticPr fontId="7" type="noConversion"/>
  </si>
  <si>
    <t>皮鞋</t>
    <phoneticPr fontId="7" type="noConversion"/>
  </si>
  <si>
    <t>铁鞋</t>
    <phoneticPr fontId="7" type="noConversion"/>
  </si>
  <si>
    <t>项链</t>
    <phoneticPr fontId="7" type="noConversion"/>
  </si>
  <si>
    <t>戒指</t>
    <phoneticPr fontId="7" type="noConversion"/>
  </si>
  <si>
    <t>主手</t>
    <phoneticPr fontId="7" type="noConversion"/>
  </si>
  <si>
    <t>双手</t>
    <phoneticPr fontId="7" type="noConversion"/>
  </si>
  <si>
    <t>距离</t>
    <phoneticPr fontId="7" type="noConversion"/>
  </si>
  <si>
    <t>近战</t>
    <phoneticPr fontId="7" type="noConversion"/>
  </si>
  <si>
    <t>远程</t>
    <phoneticPr fontId="7" type="noConversion"/>
  </si>
  <si>
    <t>副手</t>
    <phoneticPr fontId="7" type="noConversion"/>
  </si>
  <si>
    <t>衣服</t>
    <phoneticPr fontId="7" type="noConversion"/>
  </si>
  <si>
    <t>衣服</t>
    <phoneticPr fontId="7" type="noConversion"/>
  </si>
  <si>
    <t>帽子</t>
    <phoneticPr fontId="7" type="noConversion"/>
  </si>
  <si>
    <t>帽子</t>
    <phoneticPr fontId="7" type="noConversion"/>
  </si>
  <si>
    <t>帽子</t>
    <phoneticPr fontId="7" type="noConversion"/>
  </si>
  <si>
    <t>鞋子</t>
    <phoneticPr fontId="7" type="noConversion"/>
  </si>
  <si>
    <t>鞋子</t>
    <phoneticPr fontId="7" type="noConversion"/>
  </si>
  <si>
    <t>鞋子</t>
    <phoneticPr fontId="7" type="noConversion"/>
  </si>
  <si>
    <t>饰品1</t>
    <phoneticPr fontId="7" type="noConversion"/>
  </si>
  <si>
    <t>饰品2</t>
    <phoneticPr fontId="7" type="noConversion"/>
  </si>
  <si>
    <t>攻击</t>
    <phoneticPr fontId="7" type="noConversion"/>
  </si>
  <si>
    <t>平衡</t>
    <phoneticPr fontId="7" type="noConversion"/>
  </si>
  <si>
    <t>暴击</t>
    <phoneticPr fontId="7" type="noConversion"/>
  </si>
  <si>
    <t>攻击</t>
    <phoneticPr fontId="7" type="noConversion"/>
  </si>
  <si>
    <t>暴击</t>
    <phoneticPr fontId="7" type="noConversion"/>
  </si>
  <si>
    <r>
      <t>M</t>
    </r>
    <r>
      <rPr>
        <sz val="9"/>
        <color theme="1"/>
        <rFont val="微软雅黑"/>
        <family val="2"/>
        <charset val="134"/>
      </rPr>
      <t>P</t>
    </r>
    <phoneticPr fontId="7" type="noConversion"/>
  </si>
  <si>
    <t>防御</t>
    <phoneticPr fontId="7" type="noConversion"/>
  </si>
  <si>
    <t>防御</t>
    <phoneticPr fontId="7" type="noConversion"/>
  </si>
  <si>
    <t>护甲</t>
    <phoneticPr fontId="7" type="noConversion"/>
  </si>
  <si>
    <t>暴击</t>
    <phoneticPr fontId="7" type="noConversion"/>
  </si>
  <si>
    <t>攻击</t>
    <phoneticPr fontId="7" type="noConversion"/>
  </si>
  <si>
    <r>
      <t>H</t>
    </r>
    <r>
      <rPr>
        <sz val="9"/>
        <color theme="1"/>
        <rFont val="微软雅黑"/>
        <family val="2"/>
        <charset val="134"/>
      </rPr>
      <t>P</t>
    </r>
    <phoneticPr fontId="7" type="noConversion"/>
  </si>
  <si>
    <r>
      <t>H</t>
    </r>
    <r>
      <rPr>
        <sz val="9"/>
        <color theme="1"/>
        <rFont val="微软雅黑"/>
        <family val="2"/>
        <charset val="134"/>
      </rPr>
      <t>P</t>
    </r>
    <phoneticPr fontId="7" type="noConversion"/>
  </si>
  <si>
    <r>
      <t>M</t>
    </r>
    <r>
      <rPr>
        <sz val="9"/>
        <color theme="1"/>
        <rFont val="微软雅黑"/>
        <family val="2"/>
        <charset val="134"/>
      </rPr>
      <t>P</t>
    </r>
    <phoneticPr fontId="7" type="noConversion"/>
  </si>
  <si>
    <t>攻击</t>
    <phoneticPr fontId="7" type="noConversion"/>
  </si>
  <si>
    <t>暴击倍数</t>
    <phoneticPr fontId="7" type="noConversion"/>
  </si>
  <si>
    <t>无视护甲</t>
    <phoneticPr fontId="7" type="noConversion"/>
  </si>
  <si>
    <t>攻击</t>
    <phoneticPr fontId="7" type="noConversion"/>
  </si>
  <si>
    <r>
      <t>M</t>
    </r>
    <r>
      <rPr>
        <sz val="9"/>
        <color theme="1"/>
        <rFont val="微软雅黑"/>
        <family val="2"/>
        <charset val="134"/>
      </rPr>
      <t>P</t>
    </r>
    <phoneticPr fontId="7" type="noConversion"/>
  </si>
  <si>
    <t>魔法伤害</t>
    <phoneticPr fontId="7" type="noConversion"/>
  </si>
  <si>
    <t>释放概率</t>
    <phoneticPr fontId="7" type="noConversion"/>
  </si>
  <si>
    <t>防御</t>
    <phoneticPr fontId="7" type="noConversion"/>
  </si>
  <si>
    <r>
      <t>H</t>
    </r>
    <r>
      <rPr>
        <sz val="9"/>
        <color theme="1"/>
        <rFont val="微软雅黑"/>
        <family val="2"/>
        <charset val="134"/>
      </rPr>
      <t>P</t>
    </r>
    <phoneticPr fontId="7" type="noConversion"/>
  </si>
  <si>
    <t>防御</t>
    <phoneticPr fontId="7" type="noConversion"/>
  </si>
  <si>
    <r>
      <t>H</t>
    </r>
    <r>
      <rPr>
        <sz val="9"/>
        <color theme="1"/>
        <rFont val="微软雅黑"/>
        <family val="2"/>
        <charset val="134"/>
      </rPr>
      <t>P</t>
    </r>
    <phoneticPr fontId="7" type="noConversion"/>
  </si>
  <si>
    <t>防御</t>
    <phoneticPr fontId="7" type="noConversion"/>
  </si>
  <si>
    <t>护甲</t>
    <phoneticPr fontId="7" type="noConversion"/>
  </si>
  <si>
    <t>类型</t>
    <phoneticPr fontId="7" type="noConversion"/>
  </si>
  <si>
    <t>模块</t>
    <phoneticPr fontId="7" type="noConversion"/>
  </si>
  <si>
    <t>子模块</t>
    <phoneticPr fontId="7" type="noConversion"/>
  </si>
  <si>
    <t>优先级</t>
    <phoneticPr fontId="7" type="noConversion"/>
  </si>
  <si>
    <t>需要时间</t>
    <phoneticPr fontId="7" type="noConversion"/>
  </si>
  <si>
    <t>完成情况</t>
    <phoneticPr fontId="7" type="noConversion"/>
  </si>
  <si>
    <t>说明</t>
    <phoneticPr fontId="7" type="noConversion"/>
  </si>
  <si>
    <t>系统</t>
    <phoneticPr fontId="7" type="noConversion"/>
  </si>
  <si>
    <t>核心战斗</t>
    <phoneticPr fontId="7" type="noConversion"/>
  </si>
  <si>
    <t>核心</t>
    <phoneticPr fontId="7" type="noConversion"/>
  </si>
  <si>
    <t>-</t>
    <phoneticPr fontId="7" type="noConversion"/>
  </si>
  <si>
    <t>Done</t>
    <phoneticPr fontId="7" type="noConversion"/>
  </si>
  <si>
    <t>词缀与属性</t>
  </si>
  <si>
    <t>系统</t>
    <phoneticPr fontId="7" type="noConversion"/>
  </si>
  <si>
    <t>宠物系统</t>
    <phoneticPr fontId="7" type="noConversion"/>
  </si>
  <si>
    <t>核心</t>
    <phoneticPr fontId="7" type="noConversion"/>
  </si>
  <si>
    <t>宠物获得</t>
    <phoneticPr fontId="7" type="noConversion"/>
  </si>
  <si>
    <t>宠物养成</t>
    <phoneticPr fontId="7" type="noConversion"/>
  </si>
  <si>
    <t>系统</t>
    <phoneticPr fontId="7" type="noConversion"/>
  </si>
  <si>
    <t>技能系统</t>
    <phoneticPr fontId="7" type="noConversion"/>
  </si>
  <si>
    <t>核心</t>
    <phoneticPr fontId="7" type="noConversion"/>
  </si>
  <si>
    <t>战斗技能</t>
    <phoneticPr fontId="7" type="noConversion"/>
  </si>
  <si>
    <t>-</t>
    <phoneticPr fontId="7" type="noConversion"/>
  </si>
  <si>
    <t>辅助技能</t>
    <phoneticPr fontId="7" type="noConversion"/>
  </si>
  <si>
    <t>-</t>
    <phoneticPr fontId="7" type="noConversion"/>
  </si>
  <si>
    <t>系统</t>
    <phoneticPr fontId="7" type="noConversion"/>
  </si>
  <si>
    <t>获得&amp;生成</t>
    <phoneticPr fontId="7" type="noConversion"/>
  </si>
  <si>
    <t>强化</t>
    <phoneticPr fontId="7" type="noConversion"/>
  </si>
  <si>
    <t>祝福</t>
    <phoneticPr fontId="7" type="noConversion"/>
  </si>
  <si>
    <t>赌博系统</t>
    <phoneticPr fontId="7" type="noConversion"/>
  </si>
  <si>
    <t>待完善</t>
    <phoneticPr fontId="7" type="noConversion"/>
  </si>
  <si>
    <t>九宫格开箱子，先开装备品质再开效果（出自《无尽冒险之旅》）</t>
    <phoneticPr fontId="7" type="noConversion"/>
  </si>
  <si>
    <t>玩法</t>
    <phoneticPr fontId="7" type="noConversion"/>
  </si>
  <si>
    <t>竞技场系统</t>
    <phoneticPr fontId="7" type="noConversion"/>
  </si>
  <si>
    <t>-</t>
    <phoneticPr fontId="7" type="noConversion"/>
  </si>
  <si>
    <t>伪竞技场，可以反复刷的塔（出自《无尽的回廊》）</t>
    <phoneticPr fontId="7" type="noConversion"/>
  </si>
  <si>
    <t>功能</t>
    <phoneticPr fontId="7" type="noConversion"/>
  </si>
  <si>
    <t>人物属性</t>
    <phoneticPr fontId="7" type="noConversion"/>
  </si>
  <si>
    <t>属性展示</t>
    <phoneticPr fontId="7" type="noConversion"/>
  </si>
  <si>
    <t>TODO</t>
    <phoneticPr fontId="7" type="noConversion"/>
  </si>
  <si>
    <t>功能</t>
    <phoneticPr fontId="7" type="noConversion"/>
  </si>
  <si>
    <t>战报</t>
    <phoneticPr fontId="7" type="noConversion"/>
  </si>
  <si>
    <t>装备显示</t>
    <phoneticPr fontId="7" type="noConversion"/>
  </si>
  <si>
    <t>装备背包</t>
    <phoneticPr fontId="7" type="noConversion"/>
  </si>
  <si>
    <t>道具背包</t>
    <phoneticPr fontId="7" type="noConversion"/>
  </si>
  <si>
    <t>挂机统计</t>
    <phoneticPr fontId="7" type="noConversion"/>
  </si>
  <si>
    <t>统计在地图的逗留时间、胜负比、获得装备等</t>
    <phoneticPr fontId="7" type="noConversion"/>
  </si>
  <si>
    <t>设置</t>
    <phoneticPr fontId="7" type="noConversion"/>
  </si>
  <si>
    <t>设置挂机功能、音乐</t>
    <phoneticPr fontId="7" type="noConversion"/>
  </si>
  <si>
    <t>地图</t>
    <phoneticPr fontId="7" type="noConversion"/>
  </si>
  <si>
    <t>转生</t>
    <phoneticPr fontId="7" type="noConversion"/>
  </si>
  <si>
    <t>帮助界面</t>
    <phoneticPr fontId="7" type="noConversion"/>
  </si>
  <si>
    <t>商店</t>
    <phoneticPr fontId="7" type="noConversion"/>
  </si>
  <si>
    <t>竞技场商店</t>
    <phoneticPr fontId="7" type="noConversion"/>
  </si>
  <si>
    <t>通过竞技场刷出的道具兑换当前等级装备（出自《无尽的回廊》）</t>
    <phoneticPr fontId="7" type="noConversion"/>
  </si>
  <si>
    <t>特殊功能购买</t>
    <phoneticPr fontId="7" type="noConversion"/>
  </si>
  <si>
    <t>购买道具背包、宠物背包（有必要但优先级极低）</t>
    <phoneticPr fontId="7" type="noConversion"/>
  </si>
  <si>
    <t>付费</t>
    <phoneticPr fontId="7" type="noConversion"/>
  </si>
  <si>
    <t>广告</t>
    <phoneticPr fontId="7" type="noConversion"/>
  </si>
  <si>
    <t>-</t>
    <phoneticPr fontId="7" type="noConversion"/>
  </si>
  <si>
    <t>2小时后开启的宝箱，每看一次少30分钟倒计时</t>
    <phoneticPr fontId="7" type="noConversion"/>
  </si>
  <si>
    <t>AttriType</t>
    <phoneticPr fontId="15" type="noConversion"/>
  </si>
  <si>
    <t>QualityType</t>
    <phoneticPr fontId="15" type="noConversion"/>
  </si>
  <si>
    <t>属性池</t>
    <phoneticPr fontId="15" type="noConversion"/>
  </si>
  <si>
    <t>装备部位</t>
    <phoneticPr fontId="15" type="noConversion"/>
  </si>
  <si>
    <t>品质</t>
    <phoneticPr fontId="15" type="noConversion"/>
  </si>
  <si>
    <t>BLUE</t>
  </si>
  <si>
    <t>护甲</t>
    <phoneticPr fontId="15" type="noConversion"/>
  </si>
  <si>
    <t>SHOES</t>
  </si>
  <si>
    <t>战靴</t>
    <phoneticPr fontId="15" type="noConversion"/>
  </si>
  <si>
    <t>MAX</t>
  </si>
  <si>
    <t>WHITE</t>
    <phoneticPr fontId="7" type="noConversion"/>
  </si>
  <si>
    <t>GREEN</t>
    <phoneticPr fontId="7" type="noConversion"/>
  </si>
  <si>
    <t>YELLOW</t>
    <phoneticPr fontId="7" type="noConversion"/>
  </si>
  <si>
    <t>ORANGE</t>
    <phoneticPr fontId="7" type="noConversion"/>
  </si>
  <si>
    <t>PURPLE</t>
    <phoneticPr fontId="7" type="noConversion"/>
  </si>
  <si>
    <t>品质1：白色</t>
    <phoneticPr fontId="15" type="noConversion"/>
  </si>
  <si>
    <t>品质2：绿色</t>
    <phoneticPr fontId="15" type="noConversion"/>
  </si>
  <si>
    <t>品质3：蓝色</t>
    <phoneticPr fontId="15" type="noConversion"/>
  </si>
  <si>
    <t>品质4：黄色</t>
    <phoneticPr fontId="15" type="noConversion"/>
  </si>
  <si>
    <t>品质5：橙色</t>
    <phoneticPr fontId="15" type="noConversion"/>
  </si>
  <si>
    <t>品质6：紫色</t>
    <phoneticPr fontId="15" type="noConversion"/>
  </si>
  <si>
    <t>头盔</t>
    <phoneticPr fontId="15" type="noConversion"/>
  </si>
  <si>
    <t>RING</t>
  </si>
  <si>
    <t>戒指</t>
    <phoneticPr fontId="15" type="noConversion"/>
  </si>
  <si>
    <t>NECKLACE</t>
  </si>
  <si>
    <t>项链</t>
    <phoneticPr fontId="15" type="noConversion"/>
  </si>
  <si>
    <t>EquipPartType</t>
  </si>
  <si>
    <t>EquipPartType</t>
    <phoneticPr fontId="15" type="noConversion"/>
  </si>
  <si>
    <t>SWORD</t>
  </si>
  <si>
    <t>AXE</t>
  </si>
  <si>
    <t>斧子</t>
    <phoneticPr fontId="15" type="noConversion"/>
  </si>
  <si>
    <t>BOW</t>
  </si>
  <si>
    <t>弓</t>
    <phoneticPr fontId="15" type="noConversion"/>
  </si>
  <si>
    <t>CROSSBOW</t>
  </si>
  <si>
    <t>弩</t>
    <phoneticPr fontId="15" type="noConversion"/>
  </si>
  <si>
    <t>SCEPTRE</t>
  </si>
  <si>
    <t>权杖</t>
    <phoneticPr fontId="15" type="noConversion"/>
  </si>
  <si>
    <t>STAFF</t>
  </si>
  <si>
    <t>法杖</t>
    <phoneticPr fontId="15" type="noConversion"/>
  </si>
  <si>
    <t>力量：选择近战武器时增加基础攻击</t>
  </si>
  <si>
    <t>敏捷：选择远程武器时增加基础攻击，并决定出手先后</t>
  </si>
  <si>
    <t>智力：增加魔法伤害和技能释放率</t>
  </si>
  <si>
    <t>意志：增加暴击率和暴击伤害</t>
  </si>
  <si>
    <t>幸运：增加暴击率和掉宝率</t>
  </si>
  <si>
    <t>HP：血量为空，战斗失败</t>
  </si>
  <si>
    <t>MP：释放法术时消耗</t>
  </si>
  <si>
    <t>最小攻击：影响最低的物理伤害</t>
  </si>
  <si>
    <t>最大攻击：影响最大的物理伤害</t>
  </si>
  <si>
    <t>平衡：影响伤害的波动</t>
  </si>
  <si>
    <t>暴击：影响暴击的概率</t>
  </si>
  <si>
    <t>暴击倍数：影响暴击打出的伤害</t>
  </si>
  <si>
    <t>防御：百分比降低伤害</t>
  </si>
  <si>
    <t>护甲：直接降低伤害</t>
  </si>
  <si>
    <t>无视护甲：无视对方直接降低伤害</t>
  </si>
  <si>
    <t>攻击：同时增加最小攻击和最大攻击</t>
  </si>
  <si>
    <t>魔法攻击：同时增加最小魔法攻击和最大魔法攻击</t>
  </si>
  <si>
    <t>掉宝率：增加每次掉宝的品质及掉落概率</t>
  </si>
  <si>
    <t>施法概率：增加施法概率</t>
  </si>
  <si>
    <t>STR</t>
    <phoneticPr fontId="7" type="noConversion"/>
  </si>
  <si>
    <t>DEX</t>
    <phoneticPr fontId="7" type="noConversion"/>
  </si>
  <si>
    <t>INT</t>
    <phoneticPr fontId="7" type="noConversion"/>
  </si>
  <si>
    <t>WILL</t>
    <phoneticPr fontId="7" type="noConversion"/>
  </si>
  <si>
    <t>LUCK</t>
    <phoneticPr fontId="7" type="noConversion"/>
  </si>
  <si>
    <t>HP</t>
    <phoneticPr fontId="7" type="noConversion"/>
  </si>
  <si>
    <t>MP</t>
    <phoneticPr fontId="7" type="noConversion"/>
  </si>
  <si>
    <t>MINATK</t>
    <phoneticPr fontId="15" type="noConversion"/>
  </si>
  <si>
    <t>BAL</t>
    <phoneticPr fontId="7" type="noConversion"/>
  </si>
  <si>
    <t>CRT</t>
    <phoneticPr fontId="7" type="noConversion"/>
  </si>
  <si>
    <t>DEF</t>
    <phoneticPr fontId="7" type="noConversion"/>
  </si>
  <si>
    <t>PRT</t>
    <phoneticPr fontId="15" type="noConversion"/>
  </si>
  <si>
    <t>ATK</t>
    <phoneticPr fontId="7" type="noConversion"/>
  </si>
  <si>
    <t>MAGATK</t>
    <phoneticPr fontId="7" type="noConversion"/>
  </si>
  <si>
    <t>SKLCHS</t>
    <phoneticPr fontId="7" type="noConversion"/>
  </si>
  <si>
    <t>GODCHS</t>
    <phoneticPr fontId="7" type="noConversion"/>
  </si>
  <si>
    <t>装备ID</t>
  </si>
  <si>
    <t>装备名称</t>
  </si>
  <si>
    <t>装备Icon</t>
  </si>
  <si>
    <t>装备部位</t>
  </si>
  <si>
    <t>装备品质</t>
  </si>
  <si>
    <t>装备等级</t>
  </si>
  <si>
    <t>nameIndex</t>
  </si>
  <si>
    <t>iconName</t>
  </si>
  <si>
    <t>equipPart</t>
  </si>
  <si>
    <t>quality</t>
  </si>
  <si>
    <t>level</t>
  </si>
  <si>
    <t>int</t>
  </si>
  <si>
    <t>string</t>
  </si>
  <si>
    <t>QualityType</t>
  </si>
  <si>
    <t>Equip_TiDai</t>
  </si>
  <si>
    <t>DAGGER</t>
  </si>
  <si>
    <t>TOME</t>
  </si>
  <si>
    <t>SHIELD</t>
  </si>
  <si>
    <t>匕首</t>
    <phoneticPr fontId="15" type="noConversion"/>
  </si>
  <si>
    <t>盾</t>
    <phoneticPr fontId="7" type="noConversion"/>
  </si>
  <si>
    <t>FUR_HAT</t>
  </si>
  <si>
    <t>FUR_HAT</t>
    <phoneticPr fontId="7" type="noConversion"/>
  </si>
  <si>
    <t>FELT_HAT</t>
  </si>
  <si>
    <t>FELT_HAT</t>
    <phoneticPr fontId="7" type="noConversion"/>
  </si>
  <si>
    <t>HELM</t>
  </si>
  <si>
    <t>HELM</t>
    <phoneticPr fontId="7" type="noConversion"/>
  </si>
  <si>
    <t>SUIT</t>
  </si>
  <si>
    <t>SUIT</t>
    <phoneticPr fontId="7" type="noConversion"/>
  </si>
  <si>
    <t>JERKIN</t>
  </si>
  <si>
    <t>JERKIN</t>
    <phoneticPr fontId="7" type="noConversion"/>
  </si>
  <si>
    <t>BREASTPLATE</t>
  </si>
  <si>
    <t>BREASTPLATE</t>
    <phoneticPr fontId="7" type="noConversion"/>
  </si>
  <si>
    <t>SHOES</t>
    <phoneticPr fontId="7" type="noConversion"/>
  </si>
  <si>
    <t>BOOTS</t>
  </si>
  <si>
    <t>BOOTS</t>
    <phoneticPr fontId="7" type="noConversion"/>
  </si>
  <si>
    <t>GREAVES</t>
  </si>
  <si>
    <t>GREAVES</t>
    <phoneticPr fontId="7" type="noConversion"/>
  </si>
  <si>
    <t>MAINHAND_C</t>
    <phoneticPr fontId="7" type="noConversion"/>
  </si>
  <si>
    <t>TWOHAND_C</t>
    <phoneticPr fontId="7" type="noConversion"/>
  </si>
  <si>
    <t>MAINHAND_F</t>
    <phoneticPr fontId="7" type="noConversion"/>
  </si>
  <si>
    <t>TWOHAND_F</t>
    <phoneticPr fontId="7" type="noConversion"/>
  </si>
  <si>
    <t>主手近</t>
    <phoneticPr fontId="15" type="noConversion"/>
  </si>
  <si>
    <t>双手近</t>
    <phoneticPr fontId="15" type="noConversion"/>
  </si>
  <si>
    <t>主手远</t>
    <phoneticPr fontId="15" type="noConversion"/>
  </si>
  <si>
    <t>双手远</t>
    <phoneticPr fontId="15" type="noConversion"/>
  </si>
  <si>
    <t>武器细化类型</t>
    <phoneticPr fontId="7" type="noConversion"/>
  </si>
  <si>
    <t>weaponDetail</t>
    <phoneticPr fontId="7" type="noConversion"/>
  </si>
  <si>
    <t>WeaponDetailType</t>
    <phoneticPr fontId="7" type="noConversion"/>
  </si>
  <si>
    <t>WeaponDetailType</t>
    <phoneticPr fontId="15" type="noConversion"/>
  </si>
  <si>
    <t>武器细化类型</t>
    <phoneticPr fontId="15" type="noConversion"/>
  </si>
  <si>
    <r>
      <t>s</t>
    </r>
    <r>
      <rPr>
        <sz val="9"/>
        <color theme="1"/>
        <rFont val="微软雅黑"/>
        <family val="2"/>
        <charset val="134"/>
      </rPr>
      <t>tring</t>
    </r>
    <phoneticPr fontId="7" type="noConversion"/>
  </si>
  <si>
    <t>RandomNum</t>
    <phoneticPr fontId="7" type="noConversion"/>
  </si>
  <si>
    <r>
      <t>i</t>
    </r>
    <r>
      <rPr>
        <sz val="9"/>
        <color theme="1"/>
        <rFont val="微软雅黑"/>
        <family val="2"/>
        <charset val="134"/>
      </rPr>
      <t>nt</t>
    </r>
    <phoneticPr fontId="7" type="noConversion"/>
  </si>
  <si>
    <t>随机属性条数</t>
    <phoneticPr fontId="7" type="noConversion"/>
  </si>
  <si>
    <t>ALL</t>
  </si>
  <si>
    <t>STR</t>
  </si>
  <si>
    <t>DEX</t>
  </si>
  <si>
    <t>INT</t>
  </si>
  <si>
    <t>WILL</t>
  </si>
  <si>
    <t>LUCK</t>
  </si>
  <si>
    <t>HP</t>
  </si>
  <si>
    <t>MP</t>
  </si>
  <si>
    <t>MINATK</t>
  </si>
  <si>
    <t>MAXATK</t>
  </si>
  <si>
    <t>BAL</t>
  </si>
  <si>
    <t>CRT</t>
  </si>
  <si>
    <t>CRT.M</t>
  </si>
  <si>
    <t>DEF</t>
  </si>
  <si>
    <t>PRT</t>
  </si>
  <si>
    <t>PRT.I</t>
  </si>
  <si>
    <t>ATK</t>
  </si>
  <si>
    <t>MAGATK</t>
  </si>
  <si>
    <t>GODCHS</t>
  </si>
  <si>
    <t>SKLCHS</t>
  </si>
  <si>
    <t>Equip_TiDai</t>
    <phoneticPr fontId="7" type="noConversion"/>
  </si>
  <si>
    <t>-</t>
    <phoneticPr fontId="7" type="noConversion"/>
  </si>
  <si>
    <t>id</t>
  </si>
  <si>
    <t>等级</t>
  </si>
  <si>
    <t>升级经验</t>
  </si>
  <si>
    <t>力量</t>
  </si>
  <si>
    <t>Lv</t>
  </si>
  <si>
    <t>Exp</t>
  </si>
  <si>
    <t>NULL</t>
  </si>
  <si>
    <t>ID</t>
    <phoneticPr fontId="7" type="noConversion"/>
  </si>
  <si>
    <t>剑</t>
    <phoneticPr fontId="15" type="noConversion"/>
  </si>
  <si>
    <r>
      <t>CRT</t>
    </r>
    <r>
      <rPr>
        <sz val="9"/>
        <color theme="1"/>
        <rFont val="微软雅黑"/>
        <family val="2"/>
        <charset val="134"/>
      </rPr>
      <t>_</t>
    </r>
    <r>
      <rPr>
        <sz val="9"/>
        <color theme="1"/>
        <rFont val="微软雅黑"/>
        <family val="2"/>
        <charset val="134"/>
      </rPr>
      <t>M</t>
    </r>
    <phoneticPr fontId="15" type="noConversion"/>
  </si>
  <si>
    <r>
      <t>PRT</t>
    </r>
    <r>
      <rPr>
        <sz val="9"/>
        <color theme="1"/>
        <rFont val="微软雅黑"/>
        <family val="2"/>
        <charset val="134"/>
      </rPr>
      <t>_</t>
    </r>
    <r>
      <rPr>
        <sz val="9"/>
        <color theme="1"/>
        <rFont val="微软雅黑"/>
        <family val="2"/>
        <charset val="134"/>
      </rPr>
      <t>I</t>
    </r>
    <phoneticPr fontId="7" type="noConversion"/>
  </si>
  <si>
    <t>护甲：直接降低伤害，降低暴击概率</t>
    <phoneticPr fontId="7" type="noConversion"/>
  </si>
  <si>
    <t>暴击概率 = 暴击 / ( 暴击 + 敌方护甲 + 20）</t>
    <phoneticPr fontId="7" type="noConversion"/>
  </si>
  <si>
    <t>MAINHAND_C</t>
  </si>
  <si>
    <t>TWOHAND_C</t>
  </si>
  <si>
    <t>TWOHAND_F</t>
  </si>
  <si>
    <t>WHITE</t>
  </si>
  <si>
    <t>GREEN</t>
  </si>
  <si>
    <t>基础属性1</t>
    <phoneticPr fontId="7" type="noConversion"/>
  </si>
  <si>
    <t>basicAtb1</t>
    <phoneticPr fontId="7" type="noConversion"/>
  </si>
  <si>
    <t>基础属性2</t>
  </si>
  <si>
    <t>基础属性3</t>
  </si>
  <si>
    <t>基础属性4</t>
  </si>
  <si>
    <t>basicAtb2</t>
  </si>
  <si>
    <t>basicAtb3</t>
  </si>
  <si>
    <t>basicAtb4</t>
  </si>
  <si>
    <t>MAXATK</t>
    <phoneticPr fontId="7" type="noConversion"/>
  </si>
  <si>
    <t>MINATK|5|10</t>
    <phoneticPr fontId="7" type="noConversion"/>
  </si>
  <si>
    <t>MAXATK|11|15</t>
    <phoneticPr fontId="7" type="noConversion"/>
  </si>
  <si>
    <t>BAL|5|10</t>
    <phoneticPr fontId="7" type="noConversion"/>
  </si>
  <si>
    <t>CRT|5|10</t>
    <phoneticPr fontId="7" type="noConversion"/>
  </si>
  <si>
    <t>NULL</t>
    <phoneticPr fontId="7" type="noConversion"/>
  </si>
  <si>
    <t>MP|5|10</t>
    <phoneticPr fontId="7" type="noConversion"/>
  </si>
  <si>
    <t>DEF|5|10</t>
    <phoneticPr fontId="7" type="noConversion"/>
  </si>
  <si>
    <t>PRT|5|10</t>
    <phoneticPr fontId="7" type="noConversion"/>
  </si>
  <si>
    <t>MINATK|20|30</t>
  </si>
  <si>
    <t>BAL|20|30</t>
  </si>
  <si>
    <t>CRT|20|30</t>
  </si>
  <si>
    <t>MP|20|30</t>
  </si>
  <si>
    <t>DEF|20|30</t>
  </si>
  <si>
    <t>PRT|20|30</t>
  </si>
  <si>
    <t>MAXATK|35|40</t>
  </si>
  <si>
    <t>MAXATK|70|80</t>
  </si>
  <si>
    <t>MINATK|50|60</t>
  </si>
  <si>
    <t>BAL|50|60</t>
  </si>
  <si>
    <t>CRT|50|60</t>
  </si>
  <si>
    <t>MP|50|60</t>
  </si>
  <si>
    <t>DEF|50|60</t>
  </si>
  <si>
    <t>PRT|50|60</t>
  </si>
  <si>
    <t>随机属性与权重1</t>
    <phoneticPr fontId="7" type="noConversion"/>
  </si>
  <si>
    <t>RandomAtb1</t>
    <phoneticPr fontId="7" type="noConversion"/>
  </si>
  <si>
    <t>随机属性与权重2</t>
  </si>
  <si>
    <t>随机属性与权重3</t>
  </si>
  <si>
    <t>随机属性与权重4</t>
  </si>
  <si>
    <t>随机属性与权重5</t>
  </si>
  <si>
    <t>随机属性与权重6</t>
  </si>
  <si>
    <t>随机属性与权重7</t>
  </si>
  <si>
    <t>随机属性与权重8</t>
  </si>
  <si>
    <t>随机属性与权重9</t>
  </si>
  <si>
    <t>RandomAtb2</t>
  </si>
  <si>
    <t>RandomAtb3</t>
  </si>
  <si>
    <t>RandomAtb4</t>
  </si>
  <si>
    <t>RandomAtb5</t>
  </si>
  <si>
    <t>RandomAtb6</t>
  </si>
  <si>
    <t>RandomAtb7</t>
  </si>
  <si>
    <t>RandomAtb8</t>
  </si>
  <si>
    <t>RandomAtb9</t>
  </si>
  <si>
    <t>随机属性与权重10</t>
  </si>
  <si>
    <t>随机属性与权重11</t>
  </si>
  <si>
    <t>随机属性与权重12</t>
  </si>
  <si>
    <t>随机属性与权重13</t>
  </si>
  <si>
    <t>随机属性与权重14</t>
  </si>
  <si>
    <t>随机属性与权重15</t>
  </si>
  <si>
    <t>随机属性与权重16</t>
  </si>
  <si>
    <t>随机属性与权重17</t>
  </si>
  <si>
    <t>随机属性与权重18</t>
  </si>
  <si>
    <t>随机属性与权重19</t>
  </si>
  <si>
    <t>RandomAtb10</t>
  </si>
  <si>
    <t>RandomAtb11</t>
  </si>
  <si>
    <t>RandomAtb12</t>
  </si>
  <si>
    <t>RandomAtb13</t>
  </si>
  <si>
    <t>RandomAtb14</t>
  </si>
  <si>
    <t>RandomAtb15</t>
  </si>
  <si>
    <t>RandomAtb16</t>
  </si>
  <si>
    <t>RandomAtb17</t>
  </si>
  <si>
    <t>RandomAtb18</t>
  </si>
  <si>
    <t>RandomAtb19</t>
  </si>
  <si>
    <t>敏捷</t>
  </si>
  <si>
    <t>智力</t>
  </si>
  <si>
    <t>意志</t>
  </si>
  <si>
    <t>幸运</t>
  </si>
  <si>
    <t>int</t>
    <phoneticPr fontId="7" type="noConversion"/>
  </si>
  <si>
    <t>int</t>
    <phoneticPr fontId="7" type="noConversion"/>
  </si>
  <si>
    <t>int</t>
    <phoneticPr fontId="7" type="noConversion"/>
  </si>
  <si>
    <t>int</t>
    <phoneticPr fontId="7" type="noConversion"/>
  </si>
  <si>
    <t>int</t>
    <phoneticPr fontId="7" type="noConversion"/>
  </si>
  <si>
    <t>int</t>
    <phoneticPr fontId="7" type="noConversion"/>
  </si>
  <si>
    <t>int</t>
    <phoneticPr fontId="7" type="noConversion"/>
  </si>
  <si>
    <t>int</t>
    <phoneticPr fontId="7" type="noConversion"/>
  </si>
  <si>
    <t>攻击技能概率 = （施法概率 + 5% * 攻击技能个数）/ 攻击技能概率，初始施法概率 = 25%；防御技能概率 = 施法概率，初始施法概率 = 20% （超过100%时，按圆桌）</t>
    <phoneticPr fontId="7" type="noConversion"/>
  </si>
  <si>
    <t>攻击 = ( 最高伤害 - 最低伤害 ) * ( rnd() ^ ( 1 - 平衡值 / 150 ) ) + 最低伤害</t>
    <phoneticPr fontId="7" type="noConversion"/>
  </si>
  <si>
    <t>RaceType</t>
    <phoneticPr fontId="7" type="noConversion"/>
  </si>
  <si>
    <t>种族</t>
    <phoneticPr fontId="7" type="noConversion"/>
  </si>
  <si>
    <r>
      <t>H</t>
    </r>
    <r>
      <rPr>
        <sz val="9"/>
        <color theme="1"/>
        <rFont val="微软雅黑"/>
        <family val="2"/>
        <charset val="134"/>
      </rPr>
      <t>UMAN</t>
    </r>
    <phoneticPr fontId="7" type="noConversion"/>
  </si>
  <si>
    <r>
      <t>E</t>
    </r>
    <r>
      <rPr>
        <sz val="9"/>
        <color theme="1"/>
        <rFont val="微软雅黑"/>
        <family val="2"/>
        <charset val="134"/>
      </rPr>
      <t>LF</t>
    </r>
    <phoneticPr fontId="7" type="noConversion"/>
  </si>
  <si>
    <r>
      <t>G</t>
    </r>
    <r>
      <rPr>
        <sz val="9"/>
        <color theme="1"/>
        <rFont val="微软雅黑"/>
        <family val="2"/>
        <charset val="134"/>
      </rPr>
      <t>IANT</t>
    </r>
    <phoneticPr fontId="7" type="noConversion"/>
  </si>
  <si>
    <r>
      <t>U</t>
    </r>
    <r>
      <rPr>
        <sz val="9"/>
        <color theme="1"/>
        <rFont val="微软雅黑"/>
        <family val="2"/>
        <charset val="134"/>
      </rPr>
      <t>NDEAD</t>
    </r>
    <phoneticPr fontId="7" type="noConversion"/>
  </si>
  <si>
    <r>
      <t>D</t>
    </r>
    <r>
      <rPr>
        <sz val="9"/>
        <color theme="1"/>
        <rFont val="微软雅黑"/>
        <family val="2"/>
        <charset val="134"/>
      </rPr>
      <t>WARF</t>
    </r>
    <phoneticPr fontId="7" type="noConversion"/>
  </si>
  <si>
    <t>人类</t>
    <phoneticPr fontId="7" type="noConversion"/>
  </si>
  <si>
    <t>精灵</t>
    <phoneticPr fontId="7" type="noConversion"/>
  </si>
  <si>
    <t>巨人</t>
    <phoneticPr fontId="7" type="noConversion"/>
  </si>
  <si>
    <t>亡灵</t>
    <phoneticPr fontId="7" type="noConversion"/>
  </si>
  <si>
    <t>矮人</t>
    <phoneticPr fontId="7" type="noConversion"/>
  </si>
  <si>
    <t>实际属性 = ( AtbRes + 基础种族值 ) * 百分比种族值</t>
    <phoneticPr fontId="7" type="noConversion"/>
  </si>
  <si>
    <t>种族</t>
    <phoneticPr fontId="7" type="noConversion"/>
  </si>
  <si>
    <r>
      <t>R</t>
    </r>
    <r>
      <rPr>
        <sz val="9"/>
        <color theme="1"/>
        <rFont val="微软雅黑"/>
        <family val="2"/>
        <charset val="134"/>
      </rPr>
      <t>ACE</t>
    </r>
    <phoneticPr fontId="7" type="noConversion"/>
  </si>
  <si>
    <t>HUMAN</t>
  </si>
  <si>
    <t>ELF</t>
  </si>
  <si>
    <t>GIANT</t>
  </si>
  <si>
    <t>UNDEAD</t>
  </si>
  <si>
    <t>DWARF</t>
  </si>
  <si>
    <t>力量基础</t>
    <phoneticPr fontId="7" type="noConversion"/>
  </si>
  <si>
    <t>敏捷基础</t>
    <phoneticPr fontId="7" type="noConversion"/>
  </si>
  <si>
    <t>智力基础</t>
    <phoneticPr fontId="7" type="noConversion"/>
  </si>
  <si>
    <t>意志基础</t>
    <phoneticPr fontId="7" type="noConversion"/>
  </si>
  <si>
    <t>幸运基础</t>
    <phoneticPr fontId="7" type="noConversion"/>
  </si>
  <si>
    <t>HP基础</t>
    <phoneticPr fontId="7" type="noConversion"/>
  </si>
  <si>
    <t>MP基础</t>
    <phoneticPr fontId="7" type="noConversion"/>
  </si>
  <si>
    <t>double</t>
    <phoneticPr fontId="7" type="noConversion"/>
  </si>
  <si>
    <t>STRPER</t>
  </si>
  <si>
    <t>DEXPER</t>
  </si>
  <si>
    <t>INTPER</t>
  </si>
  <si>
    <t>WILLPER</t>
  </si>
  <si>
    <t>LUCKPER</t>
  </si>
  <si>
    <t>HPPER</t>
  </si>
  <si>
    <t>MPPER</t>
  </si>
  <si>
    <t>力量百分比</t>
  </si>
  <si>
    <t>敏捷百分比</t>
  </si>
  <si>
    <t>智力百分比</t>
  </si>
  <si>
    <t>意志百分比</t>
  </si>
  <si>
    <t>幸运百分比</t>
  </si>
  <si>
    <t>HP百分比</t>
  </si>
  <si>
    <t>MP百分比</t>
  </si>
  <si>
    <t>define</t>
  </si>
  <si>
    <t>50 + STR * 1.2</t>
  </si>
  <si>
    <t>30 + INT * 1.5</t>
  </si>
  <si>
    <t>ATK_MIN</t>
  </si>
  <si>
    <t>MAIN * .33</t>
  </si>
  <si>
    <t>ATK_MAX</t>
  </si>
  <si>
    <t>MAIN * .40</t>
  </si>
  <si>
    <t>属性公式</t>
    <phoneticPr fontId="7" type="noConversion"/>
  </si>
  <si>
    <t>属性id</t>
    <phoneticPr fontId="7" type="noConversion"/>
  </si>
  <si>
    <t>HP</t>
    <phoneticPr fontId="7" type="noConversion"/>
  </si>
  <si>
    <t>string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</si>
</sst>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宋体"/>
      <family val="2"/>
      <scheme val="minor"/>
    </font>
    <font>
      <sz val="9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9"/>
      <name val="宋体"/>
      <family val="3"/>
      <charset val="134"/>
      <scheme val="minor"/>
    </font>
    <font>
      <b/>
      <sz val="9"/>
      <color theme="1"/>
      <name val="微软雅黑"/>
      <family val="2"/>
      <charset val="134"/>
    </font>
    <font>
      <sz val="9"/>
      <color rgb="FF0070C0"/>
      <name val="微软雅黑"/>
      <family val="2"/>
      <charset val="134"/>
    </font>
    <font>
      <sz val="9"/>
      <color theme="9" tint="-0.249977111117893"/>
      <name val="微软雅黑"/>
      <family val="2"/>
      <charset val="134"/>
    </font>
    <font>
      <sz val="9"/>
      <color rgb="FF7030A0"/>
      <name val="微软雅黑"/>
      <family val="2"/>
      <charset val="134"/>
    </font>
    <font>
      <sz val="9"/>
      <color rgb="FFFF0000"/>
      <name val="微软雅黑"/>
      <family val="2"/>
      <charset val="134"/>
    </font>
    <font>
      <b/>
      <sz val="9"/>
      <color rgb="FFFF0000"/>
      <name val="微软雅黑"/>
      <family val="2"/>
      <charset val="134"/>
    </font>
    <font>
      <b/>
      <sz val="9"/>
      <color rgb="FF0070C0"/>
      <name val="微软雅黑"/>
      <family val="2"/>
      <charset val="134"/>
    </font>
    <font>
      <sz val="9"/>
      <name val="微软雅黑"/>
      <family val="2"/>
      <charset val="134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8" fillId="0" borderId="1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6" fillId="0" borderId="0" xfId="0" applyFont="1"/>
    <xf numFmtId="0" fontId="8" fillId="0" borderId="0" xfId="0" applyFont="1"/>
    <xf numFmtId="0" fontId="8" fillId="0" borderId="0" xfId="0" applyFont="1" applyAlignment="1">
      <alignment horizontal="center" vertical="center"/>
    </xf>
    <xf numFmtId="0" fontId="5" fillId="0" borderId="0" xfId="0" applyFont="1"/>
    <xf numFmtId="0" fontId="4" fillId="0" borderId="1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 vertical="center"/>
    </xf>
    <xf numFmtId="0" fontId="1" fillId="0" borderId="0" xfId="0" applyFont="1"/>
    <xf numFmtId="0" fontId="12" fillId="0" borderId="0" xfId="0" applyFont="1" applyFill="1"/>
    <xf numFmtId="0" fontId="1" fillId="0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</cellXfs>
  <cellStyles count="1">
    <cellStyle name="常规" xfId="0" builtinId="0"/>
  </cellStyles>
  <dxfs count="4">
    <dxf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3"/>
      <tableStyleElement type="headerRow" dxfId="2"/>
    </tableStyle>
  </tableStyles>
  <colors>
    <mruColors>
      <color rgb="FF8192D6"/>
      <color rgb="FF81C2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4"/>
  <sheetViews>
    <sheetView workbookViewId="0">
      <pane ySplit="1" topLeftCell="A2" activePane="bottomLeft" state="frozen"/>
      <selection pane="bottomLeft" activeCell="G25" sqref="G25"/>
    </sheetView>
  </sheetViews>
  <sheetFormatPr defaultRowHeight="14.25" x14ac:dyDescent="0.15"/>
  <cols>
    <col min="1" max="5" width="10.75" style="10" customWidth="1"/>
    <col min="6" max="6" width="7.5" style="10" bestFit="1" customWidth="1"/>
    <col min="7" max="7" width="48.875" style="10" bestFit="1" customWidth="1"/>
    <col min="8" max="16384" width="9" style="10"/>
  </cols>
  <sheetData>
    <row r="1" spans="1:7" s="8" customFormat="1" ht="15" thickBot="1" x14ac:dyDescent="0.2">
      <c r="A1" s="1" t="s">
        <v>135</v>
      </c>
      <c r="B1" s="1" t="s">
        <v>136</v>
      </c>
      <c r="C1" s="1" t="s">
        <v>137</v>
      </c>
      <c r="D1" s="1" t="s">
        <v>138</v>
      </c>
      <c r="E1" s="1" t="s">
        <v>139</v>
      </c>
      <c r="F1" s="1" t="s">
        <v>140</v>
      </c>
      <c r="G1" s="1" t="s">
        <v>141</v>
      </c>
    </row>
    <row r="2" spans="1:7" x14ac:dyDescent="0.15">
      <c r="A2" s="29" t="s">
        <v>142</v>
      </c>
      <c r="B2" s="30" t="s">
        <v>143</v>
      </c>
      <c r="C2" s="9" t="s">
        <v>144</v>
      </c>
      <c r="D2" s="9" t="s">
        <v>145</v>
      </c>
      <c r="F2" s="2" t="s">
        <v>146</v>
      </c>
    </row>
    <row r="3" spans="1:7" x14ac:dyDescent="0.15">
      <c r="A3" s="27"/>
      <c r="B3" s="28"/>
      <c r="C3" s="10" t="s">
        <v>147</v>
      </c>
      <c r="D3" s="10" t="s">
        <v>145</v>
      </c>
      <c r="E3" s="10">
        <v>0.5</v>
      </c>
      <c r="F3" s="2"/>
    </row>
    <row r="4" spans="1:7" x14ac:dyDescent="0.15">
      <c r="A4" s="27" t="s">
        <v>148</v>
      </c>
      <c r="B4" s="28" t="s">
        <v>149</v>
      </c>
      <c r="C4" s="10" t="s">
        <v>150</v>
      </c>
      <c r="D4" s="10">
        <v>4</v>
      </c>
      <c r="F4" s="2"/>
    </row>
    <row r="5" spans="1:7" x14ac:dyDescent="0.15">
      <c r="A5" s="27"/>
      <c r="B5" s="28"/>
      <c r="C5" s="10" t="s">
        <v>151</v>
      </c>
      <c r="D5" s="10">
        <v>4</v>
      </c>
      <c r="E5" s="10">
        <v>0.3</v>
      </c>
      <c r="F5" s="2"/>
    </row>
    <row r="6" spans="1:7" x14ac:dyDescent="0.15">
      <c r="A6" s="27"/>
      <c r="B6" s="28"/>
      <c r="C6" s="10" t="s">
        <v>152</v>
      </c>
      <c r="D6" s="10">
        <v>4</v>
      </c>
    </row>
    <row r="7" spans="1:7" x14ac:dyDescent="0.15">
      <c r="A7" s="27" t="s">
        <v>153</v>
      </c>
      <c r="B7" s="28" t="s">
        <v>154</v>
      </c>
      <c r="C7" s="10" t="s">
        <v>155</v>
      </c>
      <c r="D7" s="10">
        <v>3</v>
      </c>
    </row>
    <row r="8" spans="1:7" x14ac:dyDescent="0.15">
      <c r="A8" s="27"/>
      <c r="B8" s="28"/>
      <c r="C8" s="10" t="s">
        <v>156</v>
      </c>
      <c r="D8" s="10" t="s">
        <v>157</v>
      </c>
      <c r="E8" s="10">
        <v>0.2</v>
      </c>
    </row>
    <row r="9" spans="1:7" x14ac:dyDescent="0.15">
      <c r="A9" s="27"/>
      <c r="B9" s="28"/>
      <c r="C9" s="10" t="s">
        <v>158</v>
      </c>
      <c r="D9" s="10" t="s">
        <v>159</v>
      </c>
    </row>
    <row r="10" spans="1:7" x14ac:dyDescent="0.15">
      <c r="A10" s="27" t="s">
        <v>160</v>
      </c>
      <c r="B10" s="28" t="s">
        <v>4</v>
      </c>
      <c r="C10" s="10" t="s">
        <v>155</v>
      </c>
      <c r="D10" s="10">
        <v>2</v>
      </c>
      <c r="E10" s="10">
        <v>0.5</v>
      </c>
    </row>
    <row r="11" spans="1:7" x14ac:dyDescent="0.15">
      <c r="A11" s="27"/>
      <c r="B11" s="28"/>
      <c r="C11" s="10" t="s">
        <v>161</v>
      </c>
      <c r="D11" s="10" t="s">
        <v>157</v>
      </c>
      <c r="E11" s="10">
        <v>0.2</v>
      </c>
    </row>
    <row r="12" spans="1:7" x14ac:dyDescent="0.15">
      <c r="A12" s="27"/>
      <c r="B12" s="28"/>
      <c r="C12" s="10" t="s">
        <v>162</v>
      </c>
      <c r="D12" s="10" t="s">
        <v>157</v>
      </c>
      <c r="E12" s="10">
        <v>0.2</v>
      </c>
    </row>
    <row r="13" spans="1:7" x14ac:dyDescent="0.15">
      <c r="A13" s="27"/>
      <c r="B13" s="28"/>
      <c r="C13" s="10" t="s">
        <v>163</v>
      </c>
      <c r="D13" s="10" t="s">
        <v>157</v>
      </c>
      <c r="E13" s="10">
        <v>0.2</v>
      </c>
    </row>
    <row r="14" spans="1:7" x14ac:dyDescent="0.15">
      <c r="A14" s="11" t="s">
        <v>1</v>
      </c>
      <c r="B14" s="10" t="s">
        <v>164</v>
      </c>
      <c r="C14" s="10" t="s">
        <v>165</v>
      </c>
      <c r="D14" s="10" t="s">
        <v>145</v>
      </c>
      <c r="G14" s="10" t="s">
        <v>166</v>
      </c>
    </row>
    <row r="15" spans="1:7" x14ac:dyDescent="0.15">
      <c r="A15" s="11" t="s">
        <v>167</v>
      </c>
      <c r="B15" s="10" t="s">
        <v>168</v>
      </c>
      <c r="C15" s="10" t="s">
        <v>165</v>
      </c>
      <c r="D15" s="10" t="s">
        <v>169</v>
      </c>
      <c r="G15" s="10" t="s">
        <v>170</v>
      </c>
    </row>
    <row r="16" spans="1:7" x14ac:dyDescent="0.15">
      <c r="A16" s="12" t="s">
        <v>171</v>
      </c>
      <c r="B16" s="10" t="s">
        <v>3</v>
      </c>
      <c r="D16" s="10">
        <v>5</v>
      </c>
      <c r="E16" s="10">
        <v>0.2</v>
      </c>
    </row>
    <row r="17" spans="1:13" x14ac:dyDescent="0.15">
      <c r="A17" s="12" t="s">
        <v>171</v>
      </c>
      <c r="B17" s="10" t="s">
        <v>172</v>
      </c>
      <c r="C17" s="10" t="s">
        <v>173</v>
      </c>
      <c r="D17" s="10">
        <v>1</v>
      </c>
      <c r="F17" s="3" t="s">
        <v>174</v>
      </c>
    </row>
    <row r="18" spans="1:13" x14ac:dyDescent="0.15">
      <c r="A18" s="12" t="s">
        <v>175</v>
      </c>
      <c r="B18" s="10" t="s">
        <v>176</v>
      </c>
      <c r="D18" s="21" t="s">
        <v>345</v>
      </c>
      <c r="F18" s="2" t="s">
        <v>146</v>
      </c>
    </row>
    <row r="19" spans="1:13" x14ac:dyDescent="0.15">
      <c r="A19" s="12" t="s">
        <v>171</v>
      </c>
      <c r="B19" s="10" t="s">
        <v>177</v>
      </c>
      <c r="D19" s="10">
        <v>2</v>
      </c>
    </row>
    <row r="20" spans="1:13" x14ac:dyDescent="0.15">
      <c r="A20" s="12" t="s">
        <v>0</v>
      </c>
      <c r="B20" s="10" t="s">
        <v>178</v>
      </c>
      <c r="D20" s="10">
        <v>2</v>
      </c>
    </row>
    <row r="21" spans="1:13" x14ac:dyDescent="0.15">
      <c r="A21" s="12" t="s">
        <v>171</v>
      </c>
      <c r="B21" s="10" t="s">
        <v>2</v>
      </c>
      <c r="D21" s="10">
        <v>2</v>
      </c>
    </row>
    <row r="22" spans="1:13" x14ac:dyDescent="0.15">
      <c r="A22" s="12" t="s">
        <v>171</v>
      </c>
      <c r="B22" s="10" t="s">
        <v>179</v>
      </c>
      <c r="D22" s="10">
        <v>3</v>
      </c>
    </row>
    <row r="23" spans="1:13" x14ac:dyDescent="0.15">
      <c r="A23" s="12" t="s">
        <v>171</v>
      </c>
      <c r="B23" s="10" t="s">
        <v>180</v>
      </c>
      <c r="D23" s="10">
        <v>2</v>
      </c>
      <c r="G23" s="10" t="s">
        <v>181</v>
      </c>
    </row>
    <row r="24" spans="1:13" x14ac:dyDescent="0.15">
      <c r="A24" s="12" t="s">
        <v>0</v>
      </c>
      <c r="B24" s="10" t="s">
        <v>182</v>
      </c>
      <c r="D24" s="10">
        <v>2</v>
      </c>
      <c r="G24" s="10" t="s">
        <v>183</v>
      </c>
    </row>
    <row r="25" spans="1:13" x14ac:dyDescent="0.15">
      <c r="A25" s="12" t="s">
        <v>0</v>
      </c>
      <c r="B25" s="10" t="s">
        <v>184</v>
      </c>
      <c r="D25" s="10">
        <v>2</v>
      </c>
    </row>
    <row r="26" spans="1:13" x14ac:dyDescent="0.15">
      <c r="A26" s="12" t="s">
        <v>0</v>
      </c>
      <c r="B26" s="10" t="s">
        <v>185</v>
      </c>
      <c r="D26" s="10">
        <v>3</v>
      </c>
      <c r="M26" s="13"/>
    </row>
    <row r="27" spans="1:13" x14ac:dyDescent="0.15">
      <c r="A27" s="12" t="s">
        <v>171</v>
      </c>
      <c r="B27" s="10" t="s">
        <v>186</v>
      </c>
      <c r="D27" s="10" t="s">
        <v>169</v>
      </c>
    </row>
    <row r="28" spans="1:13" x14ac:dyDescent="0.15">
      <c r="A28" s="14" t="s">
        <v>187</v>
      </c>
      <c r="B28" s="10" t="s">
        <v>188</v>
      </c>
      <c r="D28" s="10" t="s">
        <v>169</v>
      </c>
      <c r="G28" s="10" t="s">
        <v>189</v>
      </c>
    </row>
    <row r="29" spans="1:13" x14ac:dyDescent="0.15">
      <c r="A29" s="14" t="s">
        <v>187</v>
      </c>
      <c r="B29" s="10" t="s">
        <v>190</v>
      </c>
      <c r="D29" s="10" t="s">
        <v>169</v>
      </c>
      <c r="G29" s="10" t="s">
        <v>191</v>
      </c>
    </row>
    <row r="30" spans="1:13" x14ac:dyDescent="0.15">
      <c r="A30" s="15" t="s">
        <v>192</v>
      </c>
      <c r="B30" s="10" t="s">
        <v>193</v>
      </c>
      <c r="D30" s="10" t="s">
        <v>194</v>
      </c>
      <c r="G30" s="10" t="s">
        <v>195</v>
      </c>
    </row>
    <row r="31" spans="1:13" x14ac:dyDescent="0.15">
      <c r="A31" s="14"/>
    </row>
    <row r="32" spans="1:13" x14ac:dyDescent="0.15">
      <c r="A32" s="14"/>
    </row>
    <row r="33" spans="1:1" x14ac:dyDescent="0.15">
      <c r="A33" s="14"/>
    </row>
    <row r="34" spans="1:1" x14ac:dyDescent="0.15">
      <c r="A34" s="14"/>
    </row>
  </sheetData>
  <mergeCells count="8">
    <mergeCell ref="A10:A13"/>
    <mergeCell ref="B10:B13"/>
    <mergeCell ref="A2:A3"/>
    <mergeCell ref="B2:B3"/>
    <mergeCell ref="A4:A6"/>
    <mergeCell ref="B4:B6"/>
    <mergeCell ref="A7:A9"/>
    <mergeCell ref="B7:B9"/>
  </mergeCells>
  <phoneticPr fontId="7" type="noConversion"/>
  <conditionalFormatting sqref="D1:D1048576">
    <cfRule type="top10" dxfId="1" priority="2" percent="1" bottom="1" rank="10"/>
  </conditionalFormatting>
  <conditionalFormatting sqref="D1:D30">
    <cfRule type="cellIs" dxfId="0" priority="1" operator="lessThan">
      <formula>2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F24"/>
  <sheetViews>
    <sheetView workbookViewId="0">
      <selection activeCell="E9" sqref="E9"/>
    </sheetView>
  </sheetViews>
  <sheetFormatPr defaultRowHeight="14.25" x14ac:dyDescent="0.3"/>
  <cols>
    <col min="1" max="3" width="9" style="4"/>
    <col min="4" max="4" width="35.5" style="4" bestFit="1" customWidth="1"/>
    <col min="5" max="5" width="141.25" style="4" customWidth="1"/>
    <col min="6" max="16384" width="9" style="4"/>
  </cols>
  <sheetData>
    <row r="2" spans="2:6" x14ac:dyDescent="0.3">
      <c r="B2" s="6" t="s">
        <v>5</v>
      </c>
      <c r="C2" s="6" t="s">
        <v>6</v>
      </c>
      <c r="D2" s="6" t="s">
        <v>38</v>
      </c>
      <c r="E2" s="6" t="s">
        <v>39</v>
      </c>
    </row>
    <row r="3" spans="2:6" x14ac:dyDescent="0.3">
      <c r="B3" s="31" t="s">
        <v>7</v>
      </c>
      <c r="C3" s="4" t="s">
        <v>8</v>
      </c>
      <c r="D3" s="4" t="s">
        <v>9</v>
      </c>
      <c r="E3" s="24" t="s">
        <v>45</v>
      </c>
      <c r="F3" s="4" t="str">
        <f>C3&amp;"："&amp;D3</f>
        <v>力量：选择近战武器时增加基础攻击</v>
      </c>
    </row>
    <row r="4" spans="2:6" x14ac:dyDescent="0.3">
      <c r="B4" s="31"/>
      <c r="C4" s="4" t="s">
        <v>10</v>
      </c>
      <c r="D4" s="4" t="s">
        <v>11</v>
      </c>
      <c r="E4" s="24" t="s">
        <v>46</v>
      </c>
      <c r="F4" s="4" t="str">
        <f t="shared" ref="F4:F21" si="0">C4&amp;"："&amp;D4</f>
        <v>敏捷：选择远程武器时增加基础攻击，并决定出手先后</v>
      </c>
    </row>
    <row r="5" spans="2:6" x14ac:dyDescent="0.3">
      <c r="B5" s="31"/>
      <c r="C5" s="4" t="s">
        <v>12</v>
      </c>
      <c r="D5" s="4" t="s">
        <v>13</v>
      </c>
      <c r="E5" s="24" t="s">
        <v>58</v>
      </c>
      <c r="F5" s="4" t="str">
        <f t="shared" si="0"/>
        <v>智力：增加魔法伤害和技能释放率</v>
      </c>
    </row>
    <row r="6" spans="2:6" x14ac:dyDescent="0.3">
      <c r="B6" s="31"/>
      <c r="C6" s="4" t="s">
        <v>14</v>
      </c>
      <c r="D6" s="4" t="s">
        <v>48</v>
      </c>
      <c r="E6" s="24" t="s">
        <v>49</v>
      </c>
      <c r="F6" s="4" t="str">
        <f t="shared" si="0"/>
        <v>意志：增加暴击率和暴击伤害</v>
      </c>
    </row>
    <row r="7" spans="2:6" x14ac:dyDescent="0.3">
      <c r="B7" s="31"/>
      <c r="C7" s="4" t="s">
        <v>15</v>
      </c>
      <c r="D7" s="4" t="s">
        <v>16</v>
      </c>
      <c r="E7" s="24" t="s">
        <v>50</v>
      </c>
      <c r="F7" s="4" t="str">
        <f t="shared" si="0"/>
        <v>幸运：增加暴击率和掉宝率</v>
      </c>
    </row>
    <row r="8" spans="2:6" x14ac:dyDescent="0.3">
      <c r="B8" s="31"/>
      <c r="C8" s="7" t="s">
        <v>120</v>
      </c>
      <c r="D8" s="4" t="s">
        <v>44</v>
      </c>
      <c r="E8" s="24"/>
      <c r="F8" s="4" t="str">
        <f t="shared" si="0"/>
        <v>HP：血量为空，战斗失败</v>
      </c>
    </row>
    <row r="9" spans="2:6" x14ac:dyDescent="0.3">
      <c r="B9" s="31"/>
      <c r="C9" s="7" t="s">
        <v>121</v>
      </c>
      <c r="D9" s="4" t="s">
        <v>17</v>
      </c>
      <c r="E9" s="24"/>
      <c r="F9" s="4" t="str">
        <f t="shared" si="0"/>
        <v>MP：释放法术时消耗</v>
      </c>
    </row>
    <row r="10" spans="2:6" x14ac:dyDescent="0.3">
      <c r="B10" s="31"/>
      <c r="C10" s="4" t="s">
        <v>42</v>
      </c>
      <c r="D10" s="4" t="s">
        <v>43</v>
      </c>
      <c r="E10" s="24">
        <f>0</f>
        <v>0</v>
      </c>
      <c r="F10" s="4" t="str">
        <f t="shared" si="0"/>
        <v>最小攻击：影响最低的物理伤害</v>
      </c>
    </row>
    <row r="11" spans="2:6" x14ac:dyDescent="0.3">
      <c r="B11" s="31"/>
      <c r="C11" s="4" t="s">
        <v>41</v>
      </c>
      <c r="D11" s="4" t="s">
        <v>47</v>
      </c>
      <c r="E11" s="24"/>
      <c r="F11" s="4" t="str">
        <f t="shared" si="0"/>
        <v>最大攻击：影响最大的物理伤害</v>
      </c>
    </row>
    <row r="12" spans="2:6" x14ac:dyDescent="0.3">
      <c r="B12" s="31"/>
      <c r="C12" s="4" t="s">
        <v>18</v>
      </c>
      <c r="D12" s="4" t="s">
        <v>19</v>
      </c>
      <c r="E12" s="23" t="s">
        <v>446</v>
      </c>
      <c r="F12" s="4" t="str">
        <f t="shared" si="0"/>
        <v>平衡：影响伤害的波动</v>
      </c>
    </row>
    <row r="13" spans="2:6" x14ac:dyDescent="0.3">
      <c r="B13" s="31"/>
      <c r="C13" s="4" t="s">
        <v>20</v>
      </c>
      <c r="D13" s="4" t="s">
        <v>21</v>
      </c>
      <c r="E13" s="24" t="s">
        <v>358</v>
      </c>
      <c r="F13" s="4" t="str">
        <f t="shared" si="0"/>
        <v>暴击：影响暴击的概率</v>
      </c>
    </row>
    <row r="14" spans="2:6" x14ac:dyDescent="0.3">
      <c r="B14" s="31"/>
      <c r="C14" s="4" t="s">
        <v>22</v>
      </c>
      <c r="D14" s="4" t="s">
        <v>23</v>
      </c>
      <c r="E14" s="24" t="s">
        <v>51</v>
      </c>
      <c r="F14" s="4" t="str">
        <f t="shared" si="0"/>
        <v>暴击倍数：影响暴击打出的伤害</v>
      </c>
    </row>
    <row r="15" spans="2:6" x14ac:dyDescent="0.3">
      <c r="B15" s="31"/>
      <c r="C15" s="4" t="s">
        <v>24</v>
      </c>
      <c r="D15" s="4" t="s">
        <v>52</v>
      </c>
      <c r="E15" s="24" t="s">
        <v>59</v>
      </c>
      <c r="F15" s="4" t="str">
        <f t="shared" si="0"/>
        <v>防御：百分比降低伤害</v>
      </c>
    </row>
    <row r="16" spans="2:6" x14ac:dyDescent="0.3">
      <c r="B16" s="31"/>
      <c r="C16" s="4" t="s">
        <v>25</v>
      </c>
      <c r="D16" s="4" t="s">
        <v>53</v>
      </c>
      <c r="E16" s="24"/>
      <c r="F16" s="4" t="str">
        <f t="shared" si="0"/>
        <v>护甲：直接降低伤害</v>
      </c>
    </row>
    <row r="17" spans="2:6" x14ac:dyDescent="0.3">
      <c r="B17" s="31"/>
      <c r="C17" s="4" t="s">
        <v>26</v>
      </c>
      <c r="D17" s="4" t="s">
        <v>54</v>
      </c>
      <c r="E17" s="24" t="s">
        <v>60</v>
      </c>
      <c r="F17" s="4" t="str">
        <f t="shared" si="0"/>
        <v>无视护甲：无视对方直接降低伤害</v>
      </c>
    </row>
    <row r="18" spans="2:6" x14ac:dyDescent="0.3">
      <c r="B18" s="31"/>
      <c r="C18" s="4" t="s">
        <v>55</v>
      </c>
      <c r="D18" s="4" t="s">
        <v>56</v>
      </c>
      <c r="E18" s="24"/>
      <c r="F18" s="4" t="str">
        <f t="shared" si="0"/>
        <v>攻击：同时增加最小攻击和最大攻击</v>
      </c>
    </row>
    <row r="19" spans="2:6" x14ac:dyDescent="0.3">
      <c r="B19" s="31"/>
      <c r="C19" s="4" t="s">
        <v>40</v>
      </c>
      <c r="D19" s="4" t="s">
        <v>57</v>
      </c>
      <c r="E19" s="24"/>
      <c r="F19" s="4" t="str">
        <f t="shared" si="0"/>
        <v>魔法攻击：同时增加最小魔法攻击和最大魔法攻击</v>
      </c>
    </row>
    <row r="20" spans="2:6" x14ac:dyDescent="0.3">
      <c r="B20" s="31"/>
      <c r="C20" s="4" t="s">
        <v>36</v>
      </c>
      <c r="D20" s="4" t="s">
        <v>37</v>
      </c>
      <c r="E20" s="24"/>
      <c r="F20" s="4" t="str">
        <f t="shared" si="0"/>
        <v>掉宝率：增加每次掉宝的品质及掉落概率</v>
      </c>
    </row>
    <row r="21" spans="2:6" x14ac:dyDescent="0.3">
      <c r="B21" s="31"/>
      <c r="C21" s="4" t="s">
        <v>27</v>
      </c>
      <c r="D21" s="4" t="s">
        <v>28</v>
      </c>
      <c r="E21" s="24" t="s">
        <v>445</v>
      </c>
      <c r="F21" s="4" t="str">
        <f t="shared" si="0"/>
        <v>施法概率：增加施法概率</v>
      </c>
    </row>
    <row r="22" spans="2:6" x14ac:dyDescent="0.3">
      <c r="B22" s="31" t="s">
        <v>29</v>
      </c>
      <c r="C22" s="4" t="s">
        <v>30</v>
      </c>
      <c r="D22" s="4" t="s">
        <v>31</v>
      </c>
      <c r="E22" s="23" t="s">
        <v>459</v>
      </c>
    </row>
    <row r="23" spans="2:6" x14ac:dyDescent="0.3">
      <c r="B23" s="31"/>
      <c r="C23" s="4" t="s">
        <v>32</v>
      </c>
      <c r="D23" s="4" t="s">
        <v>33</v>
      </c>
      <c r="E23" s="24"/>
    </row>
    <row r="24" spans="2:6" x14ac:dyDescent="0.3">
      <c r="B24" s="31"/>
      <c r="C24" s="4" t="s">
        <v>34</v>
      </c>
      <c r="D24" s="4" t="s">
        <v>35</v>
      </c>
    </row>
  </sheetData>
  <mergeCells count="2">
    <mergeCell ref="B3:B21"/>
    <mergeCell ref="B22:B24"/>
  </mergeCells>
  <phoneticPr fontId="7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D14"/>
  <sheetViews>
    <sheetView workbookViewId="0">
      <selection activeCell="E27" sqref="E27"/>
    </sheetView>
  </sheetViews>
  <sheetFormatPr defaultRowHeight="14.25" x14ac:dyDescent="0.3"/>
  <cols>
    <col min="1" max="16384" width="9" style="4"/>
  </cols>
  <sheetData>
    <row r="2" spans="2:4" x14ac:dyDescent="0.3">
      <c r="B2" s="5" t="s">
        <v>61</v>
      </c>
    </row>
    <row r="3" spans="2:4" x14ac:dyDescent="0.3">
      <c r="C3" s="4" t="s">
        <v>63</v>
      </c>
    </row>
    <row r="5" spans="2:4" x14ac:dyDescent="0.3">
      <c r="C5" s="4" t="s">
        <v>67</v>
      </c>
    </row>
    <row r="6" spans="2:4" x14ac:dyDescent="0.3">
      <c r="D6" s="4" t="s">
        <v>65</v>
      </c>
    </row>
    <row r="7" spans="2:4" x14ac:dyDescent="0.3">
      <c r="D7" s="4" t="s">
        <v>66</v>
      </c>
    </row>
    <row r="9" spans="2:4" x14ac:dyDescent="0.3">
      <c r="B9" s="5" t="s">
        <v>62</v>
      </c>
    </row>
    <row r="10" spans="2:4" x14ac:dyDescent="0.3">
      <c r="C10" s="4" t="s">
        <v>64</v>
      </c>
    </row>
    <row r="12" spans="2:4" x14ac:dyDescent="0.3">
      <c r="C12" s="4" t="s">
        <v>67</v>
      </c>
    </row>
    <row r="13" spans="2:4" x14ac:dyDescent="0.3">
      <c r="D13" s="4" t="s">
        <v>65</v>
      </c>
    </row>
    <row r="14" spans="2:4" x14ac:dyDescent="0.3">
      <c r="D14" s="4" t="s">
        <v>66</v>
      </c>
    </row>
  </sheetData>
  <phoneticPr fontId="7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T51"/>
  <sheetViews>
    <sheetView workbookViewId="0">
      <selection activeCell="H26" sqref="H26"/>
    </sheetView>
  </sheetViews>
  <sheetFormatPr defaultRowHeight="14.25" x14ac:dyDescent="0.3"/>
  <cols>
    <col min="1" max="16384" width="9" style="4"/>
  </cols>
  <sheetData>
    <row r="2" spans="2:20" x14ac:dyDescent="0.3">
      <c r="B2" s="5" t="s">
        <v>70</v>
      </c>
      <c r="C2" s="5" t="s">
        <v>71</v>
      </c>
      <c r="D2" s="5" t="s">
        <v>94</v>
      </c>
      <c r="E2" s="5" t="s">
        <v>68</v>
      </c>
      <c r="F2" s="5"/>
      <c r="H2" s="5" t="s">
        <v>69</v>
      </c>
    </row>
    <row r="3" spans="2:20" x14ac:dyDescent="0.3">
      <c r="B3" s="4" t="s">
        <v>72</v>
      </c>
      <c r="C3" s="4" t="s">
        <v>92</v>
      </c>
      <c r="D3" s="4" t="s">
        <v>95</v>
      </c>
      <c r="E3" s="7" t="s">
        <v>108</v>
      </c>
      <c r="F3" s="7" t="s">
        <v>109</v>
      </c>
      <c r="G3" s="7" t="s">
        <v>110</v>
      </c>
      <c r="H3" s="7" t="s">
        <v>111</v>
      </c>
      <c r="I3" s="7" t="s">
        <v>117</v>
      </c>
      <c r="M3" s="4" t="s">
        <v>324</v>
      </c>
      <c r="S3" s="4" t="s">
        <v>332</v>
      </c>
      <c r="T3" s="4">
        <f>MATCH(S3,$M$4:$M$22,0)</f>
        <v>8</v>
      </c>
    </row>
    <row r="4" spans="2:20" x14ac:dyDescent="0.3">
      <c r="B4" s="4" t="s">
        <v>73</v>
      </c>
      <c r="C4" s="4" t="s">
        <v>93</v>
      </c>
      <c r="D4" s="4" t="s">
        <v>95</v>
      </c>
      <c r="E4" s="7" t="s">
        <v>108</v>
      </c>
      <c r="F4" s="7" t="s">
        <v>109</v>
      </c>
      <c r="G4" s="7" t="s">
        <v>110</v>
      </c>
      <c r="H4" s="7" t="s">
        <v>118</v>
      </c>
      <c r="I4" s="7" t="s">
        <v>119</v>
      </c>
      <c r="M4" s="4" t="s">
        <v>325</v>
      </c>
      <c r="N4" s="4" t="s">
        <v>235</v>
      </c>
      <c r="S4" s="4" t="s">
        <v>333</v>
      </c>
      <c r="T4" s="4">
        <f t="shared" ref="T4:T51" si="0">MATCH(S4,$M$4:$M$22,0)</f>
        <v>9</v>
      </c>
    </row>
    <row r="5" spans="2:20" x14ac:dyDescent="0.3">
      <c r="B5" s="4" t="s">
        <v>74</v>
      </c>
      <c r="C5" s="4" t="s">
        <v>93</v>
      </c>
      <c r="D5" s="4" t="s">
        <v>96</v>
      </c>
      <c r="E5" s="7" t="s">
        <v>108</v>
      </c>
      <c r="F5" s="7" t="s">
        <v>109</v>
      </c>
      <c r="G5" s="7" t="s">
        <v>110</v>
      </c>
      <c r="H5" s="7" t="s">
        <v>122</v>
      </c>
      <c r="I5" s="7" t="s">
        <v>124</v>
      </c>
      <c r="M5" s="4" t="s">
        <v>326</v>
      </c>
      <c r="N5" s="4" t="s">
        <v>236</v>
      </c>
      <c r="S5" s="4" t="s">
        <v>334</v>
      </c>
      <c r="T5" s="4">
        <f t="shared" si="0"/>
        <v>10</v>
      </c>
    </row>
    <row r="6" spans="2:20" x14ac:dyDescent="0.3">
      <c r="B6" s="4" t="s">
        <v>75</v>
      </c>
      <c r="C6" s="4" t="s">
        <v>93</v>
      </c>
      <c r="D6" s="4" t="s">
        <v>96</v>
      </c>
      <c r="E6" s="7" t="s">
        <v>108</v>
      </c>
      <c r="F6" s="7" t="s">
        <v>109</v>
      </c>
      <c r="G6" s="7" t="s">
        <v>110</v>
      </c>
      <c r="H6" s="7" t="s">
        <v>122</v>
      </c>
      <c r="I6" s="7" t="s">
        <v>123</v>
      </c>
      <c r="M6" s="4" t="s">
        <v>327</v>
      </c>
      <c r="N6" s="4" t="s">
        <v>237</v>
      </c>
      <c r="S6" s="4" t="s">
        <v>335</v>
      </c>
      <c r="T6" s="4">
        <f t="shared" si="0"/>
        <v>11</v>
      </c>
    </row>
    <row r="7" spans="2:20" x14ac:dyDescent="0.3">
      <c r="B7" s="4" t="s">
        <v>76</v>
      </c>
      <c r="C7" s="4" t="s">
        <v>92</v>
      </c>
      <c r="D7" s="4" t="s">
        <v>95</v>
      </c>
      <c r="E7" s="7" t="s">
        <v>108</v>
      </c>
      <c r="F7" s="7" t="s">
        <v>109</v>
      </c>
      <c r="G7" s="7" t="s">
        <v>110</v>
      </c>
      <c r="H7" s="7" t="s">
        <v>125</v>
      </c>
      <c r="I7" s="7" t="s">
        <v>126</v>
      </c>
      <c r="M7" s="4" t="s">
        <v>328</v>
      </c>
      <c r="N7" s="4" t="s">
        <v>238</v>
      </c>
      <c r="S7" s="4" t="s">
        <v>332</v>
      </c>
      <c r="T7" s="4">
        <f t="shared" si="0"/>
        <v>8</v>
      </c>
    </row>
    <row r="8" spans="2:20" x14ac:dyDescent="0.3">
      <c r="B8" s="4" t="s">
        <v>77</v>
      </c>
      <c r="C8" s="4" t="s">
        <v>93</v>
      </c>
      <c r="D8" s="4" t="s">
        <v>95</v>
      </c>
      <c r="E8" s="7" t="s">
        <v>108</v>
      </c>
      <c r="F8" s="7" t="s">
        <v>109</v>
      </c>
      <c r="G8" s="7" t="s">
        <v>110</v>
      </c>
      <c r="H8" s="7" t="s">
        <v>127</v>
      </c>
      <c r="I8" s="7" t="s">
        <v>126</v>
      </c>
      <c r="M8" s="4" t="s">
        <v>329</v>
      </c>
      <c r="N8" s="4" t="s">
        <v>239</v>
      </c>
      <c r="S8" s="4" t="s">
        <v>333</v>
      </c>
      <c r="T8" s="4">
        <f t="shared" si="0"/>
        <v>9</v>
      </c>
    </row>
    <row r="9" spans="2:20" x14ac:dyDescent="0.3">
      <c r="B9" s="4" t="s">
        <v>78</v>
      </c>
      <c r="C9" s="4" t="s">
        <v>97</v>
      </c>
      <c r="E9" s="7" t="s">
        <v>111</v>
      </c>
      <c r="F9" s="7" t="s">
        <v>112</v>
      </c>
      <c r="H9" s="7" t="s">
        <v>123</v>
      </c>
      <c r="M9" s="4" t="s">
        <v>330</v>
      </c>
      <c r="N9" s="4" t="s">
        <v>240</v>
      </c>
      <c r="S9" s="4" t="s">
        <v>334</v>
      </c>
      <c r="T9" s="4">
        <f t="shared" si="0"/>
        <v>10</v>
      </c>
    </row>
    <row r="10" spans="2:20" x14ac:dyDescent="0.3">
      <c r="B10" s="4" t="s">
        <v>79</v>
      </c>
      <c r="C10" s="4" t="s">
        <v>97</v>
      </c>
      <c r="E10" s="7" t="s">
        <v>113</v>
      </c>
      <c r="F10" s="7" t="s">
        <v>114</v>
      </c>
      <c r="H10" s="7" t="s">
        <v>128</v>
      </c>
      <c r="M10" s="4" t="s">
        <v>331</v>
      </c>
      <c r="N10" s="4" t="s">
        <v>241</v>
      </c>
      <c r="S10" s="4" t="s">
        <v>335</v>
      </c>
      <c r="T10" s="4">
        <f t="shared" si="0"/>
        <v>11</v>
      </c>
    </row>
    <row r="11" spans="2:20" x14ac:dyDescent="0.3">
      <c r="B11" s="4" t="s">
        <v>80</v>
      </c>
      <c r="C11" s="4" t="s">
        <v>97</v>
      </c>
      <c r="E11" s="7" t="s">
        <v>115</v>
      </c>
      <c r="F11" s="7" t="s">
        <v>116</v>
      </c>
      <c r="H11" s="7" t="s">
        <v>129</v>
      </c>
      <c r="M11" s="4" t="s">
        <v>332</v>
      </c>
      <c r="N11" s="4" t="s">
        <v>242</v>
      </c>
      <c r="S11" s="4" t="s">
        <v>332</v>
      </c>
      <c r="T11" s="4">
        <f t="shared" si="0"/>
        <v>8</v>
      </c>
    </row>
    <row r="12" spans="2:20" x14ac:dyDescent="0.3">
      <c r="B12" s="4" t="s">
        <v>81</v>
      </c>
      <c r="C12" s="4" t="s">
        <v>98</v>
      </c>
      <c r="E12" s="7" t="s">
        <v>115</v>
      </c>
      <c r="F12" s="7" t="s">
        <v>116</v>
      </c>
      <c r="H12" s="7" t="s">
        <v>130</v>
      </c>
      <c r="I12" s="7" t="s">
        <v>131</v>
      </c>
      <c r="M12" s="4" t="s">
        <v>333</v>
      </c>
      <c r="N12" s="4" t="s">
        <v>243</v>
      </c>
      <c r="S12" s="4" t="s">
        <v>333</v>
      </c>
      <c r="T12" s="4">
        <f t="shared" si="0"/>
        <v>9</v>
      </c>
    </row>
    <row r="13" spans="2:20" x14ac:dyDescent="0.3">
      <c r="B13" s="4" t="s">
        <v>82</v>
      </c>
      <c r="C13" s="4" t="s">
        <v>98</v>
      </c>
      <c r="E13" s="7" t="s">
        <v>115</v>
      </c>
      <c r="F13" s="7" t="s">
        <v>116</v>
      </c>
      <c r="H13" s="7" t="s">
        <v>132</v>
      </c>
      <c r="I13" s="7" t="s">
        <v>116</v>
      </c>
      <c r="M13" s="4" t="s">
        <v>334</v>
      </c>
      <c r="N13" s="4" t="s">
        <v>244</v>
      </c>
      <c r="S13" s="4" t="s">
        <v>334</v>
      </c>
      <c r="T13" s="4">
        <f t="shared" si="0"/>
        <v>10</v>
      </c>
    </row>
    <row r="14" spans="2:20" x14ac:dyDescent="0.3">
      <c r="B14" s="4" t="s">
        <v>83</v>
      </c>
      <c r="C14" s="4" t="s">
        <v>99</v>
      </c>
      <c r="E14" s="7" t="s">
        <v>115</v>
      </c>
      <c r="F14" s="7" t="s">
        <v>116</v>
      </c>
      <c r="H14" s="7" t="s">
        <v>133</v>
      </c>
      <c r="I14" s="7" t="s">
        <v>134</v>
      </c>
      <c r="M14" s="4" t="s">
        <v>335</v>
      </c>
      <c r="N14" s="4" t="s">
        <v>245</v>
      </c>
      <c r="S14" s="4" t="s">
        <v>335</v>
      </c>
      <c r="T14" s="4">
        <f t="shared" si="0"/>
        <v>11</v>
      </c>
    </row>
    <row r="15" spans="2:20" x14ac:dyDescent="0.3">
      <c r="B15" s="4" t="s">
        <v>84</v>
      </c>
      <c r="C15" s="4" t="s">
        <v>100</v>
      </c>
      <c r="E15" s="7" t="s">
        <v>115</v>
      </c>
      <c r="F15" s="7" t="s">
        <v>116</v>
      </c>
      <c r="H15" s="7" t="s">
        <v>130</v>
      </c>
      <c r="I15" s="7" t="s">
        <v>131</v>
      </c>
      <c r="M15" s="4" t="s">
        <v>336</v>
      </c>
      <c r="N15" s="4" t="s">
        <v>246</v>
      </c>
      <c r="S15" s="4" t="s">
        <v>332</v>
      </c>
      <c r="T15" s="4">
        <f t="shared" si="0"/>
        <v>8</v>
      </c>
    </row>
    <row r="16" spans="2:20" x14ac:dyDescent="0.3">
      <c r="B16" s="4" t="s">
        <v>85</v>
      </c>
      <c r="C16" s="4" t="s">
        <v>101</v>
      </c>
      <c r="E16" s="7" t="s">
        <v>115</v>
      </c>
      <c r="F16" s="7" t="s">
        <v>116</v>
      </c>
      <c r="H16" s="7" t="s">
        <v>132</v>
      </c>
      <c r="I16" s="7" t="s">
        <v>116</v>
      </c>
      <c r="M16" s="4" t="s">
        <v>337</v>
      </c>
      <c r="N16" s="4" t="s">
        <v>247</v>
      </c>
      <c r="S16" s="4" t="s">
        <v>333</v>
      </c>
      <c r="T16" s="4">
        <f t="shared" si="0"/>
        <v>9</v>
      </c>
    </row>
    <row r="17" spans="2:20" x14ac:dyDescent="0.3">
      <c r="B17" s="4" t="s">
        <v>86</v>
      </c>
      <c r="C17" s="4" t="s">
        <v>102</v>
      </c>
      <c r="E17" s="7" t="s">
        <v>115</v>
      </c>
      <c r="F17" s="7" t="s">
        <v>116</v>
      </c>
      <c r="H17" s="7" t="s">
        <v>133</v>
      </c>
      <c r="I17" s="7" t="s">
        <v>134</v>
      </c>
      <c r="M17" s="4" t="s">
        <v>338</v>
      </c>
      <c r="N17" s="4" t="s">
        <v>248</v>
      </c>
      <c r="S17" s="4" t="s">
        <v>334</v>
      </c>
      <c r="T17" s="4">
        <f t="shared" si="0"/>
        <v>10</v>
      </c>
    </row>
    <row r="18" spans="2:20" x14ac:dyDescent="0.3">
      <c r="B18" s="4" t="s">
        <v>87</v>
      </c>
      <c r="C18" s="4" t="s">
        <v>103</v>
      </c>
      <c r="E18" s="7" t="s">
        <v>115</v>
      </c>
      <c r="F18" s="7" t="s">
        <v>116</v>
      </c>
      <c r="H18" s="7" t="s">
        <v>130</v>
      </c>
      <c r="I18" s="7" t="s">
        <v>131</v>
      </c>
      <c r="M18" s="4" t="s">
        <v>339</v>
      </c>
      <c r="N18" s="4" t="s">
        <v>249</v>
      </c>
      <c r="S18" s="4" t="s">
        <v>335</v>
      </c>
      <c r="T18" s="4">
        <f t="shared" si="0"/>
        <v>11</v>
      </c>
    </row>
    <row r="19" spans="2:20" x14ac:dyDescent="0.3">
      <c r="B19" s="4" t="s">
        <v>88</v>
      </c>
      <c r="C19" s="4" t="s">
        <v>104</v>
      </c>
      <c r="E19" s="7" t="s">
        <v>115</v>
      </c>
      <c r="F19" s="7" t="s">
        <v>116</v>
      </c>
      <c r="H19" s="7" t="s">
        <v>132</v>
      </c>
      <c r="I19" s="7" t="s">
        <v>116</v>
      </c>
      <c r="M19" s="4" t="s">
        <v>340</v>
      </c>
      <c r="N19" s="4" t="s">
        <v>250</v>
      </c>
      <c r="S19" s="4" t="s">
        <v>332</v>
      </c>
      <c r="T19" s="4">
        <f t="shared" si="0"/>
        <v>8</v>
      </c>
    </row>
    <row r="20" spans="2:20" x14ac:dyDescent="0.3">
      <c r="B20" s="4" t="s">
        <v>89</v>
      </c>
      <c r="C20" s="4" t="s">
        <v>105</v>
      </c>
      <c r="E20" s="7" t="s">
        <v>115</v>
      </c>
      <c r="F20" s="7" t="s">
        <v>116</v>
      </c>
      <c r="H20" s="7" t="s">
        <v>133</v>
      </c>
      <c r="I20" s="7" t="s">
        <v>134</v>
      </c>
      <c r="M20" s="4" t="s">
        <v>341</v>
      </c>
      <c r="N20" s="4" t="s">
        <v>251</v>
      </c>
      <c r="S20" s="4" t="s">
        <v>333</v>
      </c>
      <c r="T20" s="4">
        <f t="shared" si="0"/>
        <v>9</v>
      </c>
    </row>
    <row r="21" spans="2:20" x14ac:dyDescent="0.3">
      <c r="B21" s="4" t="s">
        <v>90</v>
      </c>
      <c r="C21" s="4" t="s">
        <v>106</v>
      </c>
      <c r="M21" s="4" t="s">
        <v>342</v>
      </c>
      <c r="N21" s="4" t="s">
        <v>252</v>
      </c>
      <c r="S21" s="4" t="s">
        <v>334</v>
      </c>
      <c r="T21" s="4">
        <f t="shared" si="0"/>
        <v>10</v>
      </c>
    </row>
    <row r="22" spans="2:20" x14ac:dyDescent="0.3">
      <c r="B22" s="4" t="s">
        <v>91</v>
      </c>
      <c r="C22" s="4" t="s">
        <v>107</v>
      </c>
      <c r="M22" s="4" t="s">
        <v>343</v>
      </c>
      <c r="N22" s="4" t="s">
        <v>253</v>
      </c>
      <c r="S22" s="4" t="s">
        <v>335</v>
      </c>
      <c r="T22" s="4">
        <f t="shared" si="0"/>
        <v>11</v>
      </c>
    </row>
    <row r="23" spans="2:20" x14ac:dyDescent="0.3">
      <c r="M23" s="4" t="s">
        <v>205</v>
      </c>
      <c r="S23" s="4" t="s">
        <v>332</v>
      </c>
      <c r="T23" s="4">
        <f t="shared" si="0"/>
        <v>8</v>
      </c>
    </row>
    <row r="24" spans="2:20" x14ac:dyDescent="0.3">
      <c r="S24" s="4" t="s">
        <v>333</v>
      </c>
      <c r="T24" s="4">
        <f t="shared" si="0"/>
        <v>9</v>
      </c>
    </row>
    <row r="25" spans="2:20" x14ac:dyDescent="0.3">
      <c r="S25" s="4" t="s">
        <v>334</v>
      </c>
      <c r="T25" s="4">
        <f t="shared" si="0"/>
        <v>10</v>
      </c>
    </row>
    <row r="26" spans="2:20" x14ac:dyDescent="0.3">
      <c r="S26" s="4" t="s">
        <v>335</v>
      </c>
      <c r="T26" s="4">
        <f t="shared" si="0"/>
        <v>11</v>
      </c>
    </row>
    <row r="27" spans="2:20" x14ac:dyDescent="0.3">
      <c r="S27" s="4" t="s">
        <v>332</v>
      </c>
      <c r="T27" s="4">
        <f t="shared" si="0"/>
        <v>8</v>
      </c>
    </row>
    <row r="28" spans="2:20" x14ac:dyDescent="0.3">
      <c r="S28" s="4" t="s">
        <v>333</v>
      </c>
      <c r="T28" s="4">
        <f t="shared" si="0"/>
        <v>9</v>
      </c>
    </row>
    <row r="29" spans="2:20" x14ac:dyDescent="0.3">
      <c r="S29" s="4" t="s">
        <v>335</v>
      </c>
      <c r="T29" s="4">
        <f t="shared" si="0"/>
        <v>11</v>
      </c>
    </row>
    <row r="30" spans="2:20" x14ac:dyDescent="0.3">
      <c r="S30" s="4" t="s">
        <v>331</v>
      </c>
      <c r="T30" s="4">
        <f t="shared" si="0"/>
        <v>7</v>
      </c>
    </row>
    <row r="31" spans="2:20" x14ac:dyDescent="0.3">
      <c r="S31" s="4" t="s">
        <v>337</v>
      </c>
      <c r="T31" s="4">
        <f t="shared" si="0"/>
        <v>13</v>
      </c>
    </row>
    <row r="32" spans="2:20" x14ac:dyDescent="0.3">
      <c r="S32" s="4" t="s">
        <v>337</v>
      </c>
      <c r="T32" s="4">
        <f t="shared" si="0"/>
        <v>13</v>
      </c>
    </row>
    <row r="33" spans="19:20" x14ac:dyDescent="0.3">
      <c r="S33" s="4" t="s">
        <v>338</v>
      </c>
      <c r="T33" s="4">
        <f t="shared" si="0"/>
        <v>14</v>
      </c>
    </row>
    <row r="34" spans="19:20" x14ac:dyDescent="0.3">
      <c r="S34" s="4" t="s">
        <v>337</v>
      </c>
      <c r="T34" s="4">
        <f t="shared" si="0"/>
        <v>13</v>
      </c>
    </row>
    <row r="35" spans="19:20" x14ac:dyDescent="0.3">
      <c r="S35" s="4" t="s">
        <v>338</v>
      </c>
      <c r="T35" s="4">
        <f t="shared" si="0"/>
        <v>14</v>
      </c>
    </row>
    <row r="36" spans="19:20" x14ac:dyDescent="0.3">
      <c r="S36" s="4" t="s">
        <v>337</v>
      </c>
      <c r="T36" s="4">
        <f t="shared" si="0"/>
        <v>13</v>
      </c>
    </row>
    <row r="37" spans="19:20" x14ac:dyDescent="0.3">
      <c r="S37" s="4" t="s">
        <v>338</v>
      </c>
      <c r="T37" s="4">
        <f t="shared" si="0"/>
        <v>14</v>
      </c>
    </row>
    <row r="38" spans="19:20" x14ac:dyDescent="0.3">
      <c r="S38" s="4" t="s">
        <v>337</v>
      </c>
      <c r="T38" s="4">
        <f t="shared" si="0"/>
        <v>13</v>
      </c>
    </row>
    <row r="39" spans="19:20" x14ac:dyDescent="0.3">
      <c r="S39" s="4" t="s">
        <v>338</v>
      </c>
      <c r="T39" s="4">
        <f t="shared" si="0"/>
        <v>14</v>
      </c>
    </row>
    <row r="40" spans="19:20" x14ac:dyDescent="0.3">
      <c r="S40" s="4" t="s">
        <v>337</v>
      </c>
      <c r="T40" s="4">
        <f t="shared" si="0"/>
        <v>13</v>
      </c>
    </row>
    <row r="41" spans="19:20" x14ac:dyDescent="0.3">
      <c r="S41" s="4" t="s">
        <v>338</v>
      </c>
      <c r="T41" s="4">
        <f t="shared" si="0"/>
        <v>14</v>
      </c>
    </row>
    <row r="42" spans="19:20" x14ac:dyDescent="0.3">
      <c r="S42" s="4" t="s">
        <v>337</v>
      </c>
      <c r="T42" s="4">
        <f t="shared" si="0"/>
        <v>13</v>
      </c>
    </row>
    <row r="43" spans="19:20" x14ac:dyDescent="0.3">
      <c r="S43" s="4" t="s">
        <v>338</v>
      </c>
      <c r="T43" s="4">
        <f t="shared" si="0"/>
        <v>14</v>
      </c>
    </row>
    <row r="44" spans="19:20" x14ac:dyDescent="0.3">
      <c r="S44" s="4" t="s">
        <v>337</v>
      </c>
      <c r="T44" s="4">
        <f t="shared" si="0"/>
        <v>13</v>
      </c>
    </row>
    <row r="45" spans="19:20" x14ac:dyDescent="0.3">
      <c r="S45" s="4" t="s">
        <v>338</v>
      </c>
      <c r="T45" s="4">
        <f t="shared" si="0"/>
        <v>14</v>
      </c>
    </row>
    <row r="46" spans="19:20" x14ac:dyDescent="0.3">
      <c r="S46" s="4" t="s">
        <v>337</v>
      </c>
      <c r="T46" s="4">
        <f t="shared" si="0"/>
        <v>13</v>
      </c>
    </row>
    <row r="47" spans="19:20" x14ac:dyDescent="0.3">
      <c r="S47" s="4" t="s">
        <v>338</v>
      </c>
      <c r="T47" s="4">
        <f t="shared" si="0"/>
        <v>14</v>
      </c>
    </row>
    <row r="48" spans="19:20" x14ac:dyDescent="0.3">
      <c r="S48" s="4" t="s">
        <v>337</v>
      </c>
      <c r="T48" s="4">
        <f t="shared" si="0"/>
        <v>13</v>
      </c>
    </row>
    <row r="49" spans="19:20" x14ac:dyDescent="0.3">
      <c r="S49" s="4" t="s">
        <v>338</v>
      </c>
      <c r="T49" s="4">
        <f t="shared" si="0"/>
        <v>14</v>
      </c>
    </row>
    <row r="50" spans="19:20" x14ac:dyDescent="0.3">
      <c r="S50" s="4" t="s">
        <v>337</v>
      </c>
      <c r="T50" s="4">
        <f t="shared" si="0"/>
        <v>13</v>
      </c>
    </row>
    <row r="51" spans="19:20" x14ac:dyDescent="0.3">
      <c r="S51" s="4" t="s">
        <v>338</v>
      </c>
      <c r="T51" s="4">
        <f t="shared" si="0"/>
        <v>14</v>
      </c>
    </row>
  </sheetData>
  <phoneticPr fontId="7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3"/>
  <sheetViews>
    <sheetView workbookViewId="0">
      <selection activeCell="I12" sqref="I12"/>
    </sheetView>
  </sheetViews>
  <sheetFormatPr defaultRowHeight="14.25" x14ac:dyDescent="0.3"/>
  <cols>
    <col min="1" max="1" width="15.75" style="17" bestFit="1" customWidth="1"/>
    <col min="2" max="2" width="54.625" style="17" bestFit="1" customWidth="1"/>
    <col min="3" max="3" width="13.25" style="17" bestFit="1" customWidth="1"/>
    <col min="4" max="4" width="4.5" style="17" bestFit="1" customWidth="1"/>
    <col min="5" max="5" width="14.75" style="17" bestFit="1" customWidth="1"/>
    <col min="6" max="6" width="6.125" style="17" customWidth="1"/>
    <col min="7" max="7" width="11.125" style="17" bestFit="1" customWidth="1"/>
    <col min="8" max="8" width="10" style="17" bestFit="1" customWidth="1"/>
    <col min="9" max="16384" width="9" style="16"/>
  </cols>
  <sheetData>
    <row r="1" spans="1:10" x14ac:dyDescent="0.3">
      <c r="A1" s="6" t="s">
        <v>196</v>
      </c>
      <c r="B1" s="6"/>
      <c r="C1" s="6" t="s">
        <v>223</v>
      </c>
      <c r="D1" s="6"/>
      <c r="E1" s="6" t="s">
        <v>318</v>
      </c>
      <c r="F1" s="6"/>
      <c r="G1" s="6" t="s">
        <v>197</v>
      </c>
      <c r="H1" s="6"/>
      <c r="I1" s="5" t="s">
        <v>447</v>
      </c>
    </row>
    <row r="2" spans="1:10" x14ac:dyDescent="0.3">
      <c r="A2" s="6" t="s">
        <v>198</v>
      </c>
      <c r="B2" s="6"/>
      <c r="C2" s="6" t="s">
        <v>199</v>
      </c>
      <c r="D2" s="6"/>
      <c r="E2" s="6" t="s">
        <v>319</v>
      </c>
      <c r="F2" s="6"/>
      <c r="G2" s="6" t="s">
        <v>200</v>
      </c>
      <c r="H2" s="6"/>
      <c r="I2" s="5" t="s">
        <v>448</v>
      </c>
    </row>
    <row r="3" spans="1:10" x14ac:dyDescent="0.3">
      <c r="A3" s="17" t="s">
        <v>352</v>
      </c>
      <c r="C3" s="17" t="s">
        <v>352</v>
      </c>
      <c r="E3" s="17" t="s">
        <v>352</v>
      </c>
      <c r="G3" s="17" t="s">
        <v>352</v>
      </c>
      <c r="I3" s="17" t="s">
        <v>352</v>
      </c>
    </row>
    <row r="4" spans="1:10" x14ac:dyDescent="0.3">
      <c r="A4" s="17" t="s">
        <v>254</v>
      </c>
      <c r="B4" s="17" t="s">
        <v>235</v>
      </c>
      <c r="C4" s="17" t="s">
        <v>224</v>
      </c>
      <c r="D4" s="21" t="s">
        <v>354</v>
      </c>
      <c r="E4" s="17" t="s">
        <v>307</v>
      </c>
      <c r="F4" s="17" t="s">
        <v>311</v>
      </c>
      <c r="G4" s="18" t="s">
        <v>206</v>
      </c>
      <c r="H4" s="17" t="s">
        <v>211</v>
      </c>
      <c r="I4" s="25" t="s">
        <v>449</v>
      </c>
      <c r="J4" s="26" t="s">
        <v>454</v>
      </c>
    </row>
    <row r="5" spans="1:10" x14ac:dyDescent="0.3">
      <c r="A5" s="17" t="s">
        <v>255</v>
      </c>
      <c r="B5" s="17" t="s">
        <v>236</v>
      </c>
      <c r="C5" s="17" t="s">
        <v>225</v>
      </c>
      <c r="D5" s="17" t="s">
        <v>226</v>
      </c>
      <c r="E5" s="17" t="s">
        <v>308</v>
      </c>
      <c r="F5" s="17" t="s">
        <v>312</v>
      </c>
      <c r="G5" s="18" t="s">
        <v>207</v>
      </c>
      <c r="H5" s="17" t="s">
        <v>212</v>
      </c>
      <c r="I5" s="25" t="s">
        <v>450</v>
      </c>
      <c r="J5" s="26" t="s">
        <v>455</v>
      </c>
    </row>
    <row r="6" spans="1:10" x14ac:dyDescent="0.3">
      <c r="A6" s="17" t="s">
        <v>256</v>
      </c>
      <c r="B6" s="17" t="s">
        <v>237</v>
      </c>
      <c r="C6" s="17" t="s">
        <v>227</v>
      </c>
      <c r="D6" s="17" t="s">
        <v>228</v>
      </c>
      <c r="E6" s="17" t="s">
        <v>309</v>
      </c>
      <c r="F6" s="17" t="s">
        <v>313</v>
      </c>
      <c r="G6" s="18" t="s">
        <v>201</v>
      </c>
      <c r="H6" s="17" t="s">
        <v>213</v>
      </c>
      <c r="I6" s="25" t="s">
        <v>451</v>
      </c>
      <c r="J6" s="26" t="s">
        <v>456</v>
      </c>
    </row>
    <row r="7" spans="1:10" x14ac:dyDescent="0.3">
      <c r="A7" s="17" t="s">
        <v>257</v>
      </c>
      <c r="B7" s="17" t="s">
        <v>238</v>
      </c>
      <c r="C7" s="17" t="s">
        <v>229</v>
      </c>
      <c r="D7" s="17" t="s">
        <v>230</v>
      </c>
      <c r="E7" s="17" t="s">
        <v>310</v>
      </c>
      <c r="F7" s="17" t="s">
        <v>314</v>
      </c>
      <c r="G7" s="18" t="s">
        <v>208</v>
      </c>
      <c r="H7" s="17" t="s">
        <v>214</v>
      </c>
      <c r="I7" s="25" t="s">
        <v>452</v>
      </c>
      <c r="J7" s="26" t="s">
        <v>457</v>
      </c>
    </row>
    <row r="8" spans="1:10" x14ac:dyDescent="0.3">
      <c r="A8" s="17" t="s">
        <v>258</v>
      </c>
      <c r="B8" s="17" t="s">
        <v>239</v>
      </c>
      <c r="C8" s="17" t="s">
        <v>231</v>
      </c>
      <c r="D8" s="17" t="s">
        <v>232</v>
      </c>
      <c r="G8" s="18" t="s">
        <v>209</v>
      </c>
      <c r="H8" s="17" t="s">
        <v>215</v>
      </c>
      <c r="I8" s="25" t="s">
        <v>453</v>
      </c>
      <c r="J8" s="26" t="s">
        <v>458</v>
      </c>
    </row>
    <row r="9" spans="1:10" x14ac:dyDescent="0.3">
      <c r="A9" s="17" t="s">
        <v>259</v>
      </c>
      <c r="B9" s="17" t="s">
        <v>240</v>
      </c>
      <c r="C9" s="17" t="s">
        <v>233</v>
      </c>
      <c r="D9" s="17" t="s">
        <v>234</v>
      </c>
      <c r="G9" s="18" t="s">
        <v>210</v>
      </c>
      <c r="H9" s="17" t="s">
        <v>216</v>
      </c>
      <c r="J9" s="17"/>
    </row>
    <row r="10" spans="1:10" x14ac:dyDescent="0.3">
      <c r="A10" s="17" t="s">
        <v>260</v>
      </c>
      <c r="B10" s="17" t="s">
        <v>241</v>
      </c>
      <c r="C10" s="17" t="s">
        <v>285</v>
      </c>
      <c r="D10" s="17" t="s">
        <v>288</v>
      </c>
      <c r="G10" s="18"/>
      <c r="I10" s="17"/>
      <c r="J10" s="17"/>
    </row>
    <row r="11" spans="1:10" x14ac:dyDescent="0.3">
      <c r="A11" s="17" t="s">
        <v>261</v>
      </c>
      <c r="B11" s="17" t="s">
        <v>242</v>
      </c>
      <c r="C11" s="21" t="s">
        <v>286</v>
      </c>
      <c r="D11" s="17" t="s">
        <v>79</v>
      </c>
    </row>
    <row r="12" spans="1:10" x14ac:dyDescent="0.3">
      <c r="A12" s="21" t="s">
        <v>372</v>
      </c>
      <c r="B12" s="17" t="s">
        <v>243</v>
      </c>
      <c r="C12" s="17" t="s">
        <v>287</v>
      </c>
      <c r="D12" s="17" t="s">
        <v>289</v>
      </c>
    </row>
    <row r="13" spans="1:10" x14ac:dyDescent="0.3">
      <c r="A13" s="17" t="s">
        <v>262</v>
      </c>
      <c r="B13" s="17" t="s">
        <v>244</v>
      </c>
      <c r="C13" s="17" t="s">
        <v>290</v>
      </c>
      <c r="D13" s="17" t="s">
        <v>217</v>
      </c>
    </row>
    <row r="14" spans="1:10" x14ac:dyDescent="0.3">
      <c r="A14" s="17" t="s">
        <v>263</v>
      </c>
      <c r="B14" s="17" t="s">
        <v>245</v>
      </c>
      <c r="C14" s="17" t="s">
        <v>292</v>
      </c>
      <c r="D14" s="17" t="s">
        <v>202</v>
      </c>
    </row>
    <row r="15" spans="1:10" x14ac:dyDescent="0.3">
      <c r="A15" s="21" t="s">
        <v>355</v>
      </c>
      <c r="B15" s="17" t="s">
        <v>246</v>
      </c>
      <c r="C15" s="17" t="s">
        <v>294</v>
      </c>
      <c r="D15" s="17" t="s">
        <v>204</v>
      </c>
    </row>
    <row r="16" spans="1:10" x14ac:dyDescent="0.3">
      <c r="A16" s="17" t="s">
        <v>264</v>
      </c>
      <c r="B16" s="17" t="s">
        <v>247</v>
      </c>
      <c r="C16" s="17" t="s">
        <v>296</v>
      </c>
    </row>
    <row r="17" spans="1:4" x14ac:dyDescent="0.3">
      <c r="A17" s="17" t="s">
        <v>265</v>
      </c>
      <c r="B17" s="21" t="s">
        <v>357</v>
      </c>
      <c r="C17" s="17" t="s">
        <v>298</v>
      </c>
    </row>
    <row r="18" spans="1:4" x14ac:dyDescent="0.3">
      <c r="A18" s="21" t="s">
        <v>356</v>
      </c>
      <c r="B18" s="17" t="s">
        <v>249</v>
      </c>
      <c r="C18" s="17" t="s">
        <v>300</v>
      </c>
    </row>
    <row r="19" spans="1:4" x14ac:dyDescent="0.3">
      <c r="A19" s="17" t="s">
        <v>266</v>
      </c>
      <c r="B19" s="17" t="s">
        <v>250</v>
      </c>
      <c r="C19" s="17" t="s">
        <v>203</v>
      </c>
    </row>
    <row r="20" spans="1:4" x14ac:dyDescent="0.3">
      <c r="A20" s="17" t="s">
        <v>267</v>
      </c>
      <c r="B20" s="17" t="s">
        <v>251</v>
      </c>
      <c r="C20" s="17" t="s">
        <v>303</v>
      </c>
    </row>
    <row r="21" spans="1:4" x14ac:dyDescent="0.3">
      <c r="A21" s="17" t="s">
        <v>269</v>
      </c>
      <c r="B21" s="17" t="s">
        <v>252</v>
      </c>
      <c r="C21" s="17" t="s">
        <v>305</v>
      </c>
    </row>
    <row r="22" spans="1:4" x14ac:dyDescent="0.3">
      <c r="A22" s="17" t="s">
        <v>268</v>
      </c>
      <c r="B22" s="17" t="s">
        <v>253</v>
      </c>
      <c r="C22" s="17" t="s">
        <v>218</v>
      </c>
      <c r="D22" s="17" t="s">
        <v>219</v>
      </c>
    </row>
    <row r="23" spans="1:4" x14ac:dyDescent="0.3">
      <c r="C23" s="17" t="s">
        <v>220</v>
      </c>
      <c r="D23" s="17" t="s">
        <v>221</v>
      </c>
    </row>
  </sheetData>
  <phoneticPr fontId="7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E63"/>
  <sheetViews>
    <sheetView zoomScale="70" zoomScaleNormal="70" workbookViewId="0">
      <selection activeCell="D42" sqref="D42"/>
    </sheetView>
  </sheetViews>
  <sheetFormatPr defaultRowHeight="14.25" x14ac:dyDescent="0.3"/>
  <cols>
    <col min="1" max="1" width="7.25" style="16" bestFit="1" customWidth="1"/>
    <col min="2" max="2" width="11.625" style="16" bestFit="1" customWidth="1"/>
    <col min="3" max="3" width="9.875" style="16" bestFit="1" customWidth="1"/>
    <col min="4" max="4" width="12.25" style="16" bestFit="1" customWidth="1"/>
    <col min="5" max="5" width="15.875" style="16" bestFit="1" customWidth="1"/>
    <col min="6" max="6" width="10" style="16" bestFit="1" customWidth="1"/>
    <col min="7" max="7" width="7.5" style="16" bestFit="1" customWidth="1"/>
    <col min="8" max="8" width="13.5" style="16" bestFit="1" customWidth="1"/>
    <col min="9" max="11" width="13.5" style="16" customWidth="1"/>
    <col min="12" max="12" width="11.25" style="16" customWidth="1"/>
    <col min="13" max="13" width="20.125" style="16" bestFit="1" customWidth="1"/>
    <col min="14" max="21" width="20.125" style="16" customWidth="1"/>
    <col min="22" max="31" width="21.75" style="16" customWidth="1"/>
    <col min="32" max="16384" width="9" style="16"/>
  </cols>
  <sheetData>
    <row r="1" spans="1:31" x14ac:dyDescent="0.3">
      <c r="A1" s="16" t="s">
        <v>270</v>
      </c>
      <c r="B1" s="16" t="s">
        <v>271</v>
      </c>
      <c r="C1" s="16" t="s">
        <v>272</v>
      </c>
      <c r="D1" s="16" t="s">
        <v>273</v>
      </c>
      <c r="E1" s="16" t="s">
        <v>315</v>
      </c>
      <c r="F1" s="16" t="s">
        <v>274</v>
      </c>
      <c r="G1" s="16" t="s">
        <v>275</v>
      </c>
      <c r="H1" s="20" t="s">
        <v>364</v>
      </c>
      <c r="I1" s="20" t="s">
        <v>366</v>
      </c>
      <c r="J1" s="20" t="s">
        <v>367</v>
      </c>
      <c r="K1" s="20" t="s">
        <v>368</v>
      </c>
      <c r="L1" s="20" t="s">
        <v>323</v>
      </c>
      <c r="M1" s="20" t="s">
        <v>395</v>
      </c>
      <c r="N1" s="20" t="s">
        <v>397</v>
      </c>
      <c r="O1" s="20" t="s">
        <v>398</v>
      </c>
      <c r="P1" s="20" t="s">
        <v>399</v>
      </c>
      <c r="Q1" s="20" t="s">
        <v>400</v>
      </c>
      <c r="R1" s="20" t="s">
        <v>401</v>
      </c>
      <c r="S1" s="20" t="s">
        <v>402</v>
      </c>
      <c r="T1" s="20" t="s">
        <v>403</v>
      </c>
      <c r="U1" s="20" t="s">
        <v>404</v>
      </c>
      <c r="V1" s="20" t="s">
        <v>413</v>
      </c>
      <c r="W1" s="20" t="s">
        <v>414</v>
      </c>
      <c r="X1" s="20" t="s">
        <v>415</v>
      </c>
      <c r="Y1" s="20" t="s">
        <v>416</v>
      </c>
      <c r="Z1" s="20" t="s">
        <v>417</v>
      </c>
      <c r="AA1" s="20" t="s">
        <v>418</v>
      </c>
      <c r="AB1" s="20" t="s">
        <v>419</v>
      </c>
      <c r="AC1" s="20" t="s">
        <v>420</v>
      </c>
      <c r="AD1" s="20" t="s">
        <v>421</v>
      </c>
      <c r="AE1" s="20" t="s">
        <v>422</v>
      </c>
    </row>
    <row r="2" spans="1:31" x14ac:dyDescent="0.3">
      <c r="A2" s="16" t="s">
        <v>281</v>
      </c>
      <c r="B2" s="16" t="s">
        <v>282</v>
      </c>
      <c r="C2" s="16" t="s">
        <v>282</v>
      </c>
      <c r="D2" s="16" t="s">
        <v>222</v>
      </c>
      <c r="E2" s="16" t="s">
        <v>317</v>
      </c>
      <c r="F2" s="16" t="s">
        <v>283</v>
      </c>
      <c r="G2" s="16" t="s">
        <v>281</v>
      </c>
      <c r="H2" s="16" t="s">
        <v>282</v>
      </c>
      <c r="I2" s="16" t="s">
        <v>282</v>
      </c>
      <c r="J2" s="16" t="s">
        <v>282</v>
      </c>
      <c r="K2" s="16" t="s">
        <v>282</v>
      </c>
      <c r="L2" s="20" t="s">
        <v>322</v>
      </c>
      <c r="M2" s="20" t="s">
        <v>320</v>
      </c>
      <c r="N2" s="20" t="s">
        <v>320</v>
      </c>
      <c r="O2" s="20" t="s">
        <v>320</v>
      </c>
      <c r="P2" s="20" t="s">
        <v>320</v>
      </c>
      <c r="Q2" s="20" t="s">
        <v>320</v>
      </c>
      <c r="R2" s="20" t="s">
        <v>320</v>
      </c>
      <c r="S2" s="20" t="s">
        <v>320</v>
      </c>
      <c r="T2" s="20" t="s">
        <v>320</v>
      </c>
      <c r="U2" s="20" t="s">
        <v>320</v>
      </c>
      <c r="V2" s="20" t="s">
        <v>320</v>
      </c>
      <c r="W2" s="20" t="s">
        <v>320</v>
      </c>
      <c r="X2" s="20" t="s">
        <v>320</v>
      </c>
      <c r="Y2" s="20" t="s">
        <v>320</v>
      </c>
      <c r="Z2" s="20" t="s">
        <v>320</v>
      </c>
      <c r="AA2" s="20" t="s">
        <v>320</v>
      </c>
      <c r="AB2" s="20" t="s">
        <v>320</v>
      </c>
      <c r="AC2" s="20" t="s">
        <v>320</v>
      </c>
      <c r="AD2" s="20" t="s">
        <v>320</v>
      </c>
      <c r="AE2" s="20" t="s">
        <v>320</v>
      </c>
    </row>
    <row r="3" spans="1:31" x14ac:dyDescent="0.3">
      <c r="A3" s="20" t="s">
        <v>353</v>
      </c>
      <c r="B3" s="16" t="s">
        <v>276</v>
      </c>
      <c r="C3" s="16" t="s">
        <v>277</v>
      </c>
      <c r="D3" s="16" t="s">
        <v>278</v>
      </c>
      <c r="E3" s="16" t="s">
        <v>316</v>
      </c>
      <c r="F3" s="16" t="s">
        <v>279</v>
      </c>
      <c r="G3" s="16" t="s">
        <v>280</v>
      </c>
      <c r="H3" s="20" t="s">
        <v>365</v>
      </c>
      <c r="I3" s="20" t="s">
        <v>369</v>
      </c>
      <c r="J3" s="20" t="s">
        <v>370</v>
      </c>
      <c r="K3" s="20" t="s">
        <v>371</v>
      </c>
      <c r="L3" s="20" t="s">
        <v>321</v>
      </c>
      <c r="M3" s="20" t="s">
        <v>396</v>
      </c>
      <c r="N3" s="20" t="s">
        <v>405</v>
      </c>
      <c r="O3" s="20" t="s">
        <v>406</v>
      </c>
      <c r="P3" s="20" t="s">
        <v>407</v>
      </c>
      <c r="Q3" s="20" t="s">
        <v>408</v>
      </c>
      <c r="R3" s="20" t="s">
        <v>409</v>
      </c>
      <c r="S3" s="20" t="s">
        <v>410</v>
      </c>
      <c r="T3" s="20" t="s">
        <v>411</v>
      </c>
      <c r="U3" s="20" t="s">
        <v>412</v>
      </c>
      <c r="V3" s="20" t="s">
        <v>423</v>
      </c>
      <c r="W3" s="20" t="s">
        <v>424</v>
      </c>
      <c r="X3" s="20" t="s">
        <v>425</v>
      </c>
      <c r="Y3" s="20" t="s">
        <v>426</v>
      </c>
      <c r="Z3" s="20" t="s">
        <v>427</v>
      </c>
      <c r="AA3" s="20" t="s">
        <v>428</v>
      </c>
      <c r="AB3" s="20" t="s">
        <v>429</v>
      </c>
      <c r="AC3" s="20" t="s">
        <v>430</v>
      </c>
      <c r="AD3" s="20" t="s">
        <v>431</v>
      </c>
      <c r="AE3" s="20" t="s">
        <v>432</v>
      </c>
    </row>
    <row r="4" spans="1:31" x14ac:dyDescent="0.3">
      <c r="A4" s="16">
        <v>1001</v>
      </c>
      <c r="B4" s="17" t="s">
        <v>224</v>
      </c>
      <c r="C4" s="20" t="s">
        <v>344</v>
      </c>
      <c r="D4" s="16" t="s">
        <v>224</v>
      </c>
      <c r="E4" s="17" t="s">
        <v>359</v>
      </c>
      <c r="F4" s="18" t="s">
        <v>362</v>
      </c>
      <c r="G4" s="18">
        <v>1</v>
      </c>
      <c r="H4" s="19" t="s">
        <v>373</v>
      </c>
      <c r="I4" s="19" t="s">
        <v>374</v>
      </c>
      <c r="J4" s="19" t="s">
        <v>375</v>
      </c>
      <c r="K4" s="19" t="s">
        <v>376</v>
      </c>
      <c r="L4" s="16">
        <v>0</v>
      </c>
      <c r="M4" s="19" t="str">
        <f ca="1">OFFSET(EnumRes!$A$3,COLUMN()-12,0)&amp;"|5|10|100"</f>
        <v>STR|5|10|100</v>
      </c>
      <c r="N4" s="19" t="str">
        <f ca="1">OFFSET(EnumRes!$A$3,COLUMN()-12,0)&amp;"|5|10|100"</f>
        <v>DEX|5|10|100</v>
      </c>
      <c r="O4" s="19" t="str">
        <f ca="1">OFFSET(EnumRes!$A$3,COLUMN()-12,0)&amp;"|5|10|100"</f>
        <v>INT|5|10|100</v>
      </c>
      <c r="P4" s="19" t="str">
        <f ca="1">OFFSET(EnumRes!$A$3,COLUMN()-12,0)&amp;"|5|10|100"</f>
        <v>WILL|5|10|100</v>
      </c>
      <c r="Q4" s="19" t="str">
        <f ca="1">OFFSET(EnumRes!$A$3,COLUMN()-12,0)&amp;"|5|10|100"</f>
        <v>LUCK|5|10|100</v>
      </c>
      <c r="R4" s="19" t="str">
        <f ca="1">OFFSET(EnumRes!$A$3,COLUMN()-12,0)&amp;"|5|10|100"</f>
        <v>HP|5|10|100</v>
      </c>
      <c r="S4" s="19" t="str">
        <f ca="1">OFFSET(EnumRes!$A$3,COLUMN()-12,0)&amp;"|5|10|100"</f>
        <v>MP|5|10|100</v>
      </c>
      <c r="T4" s="19" t="str">
        <f ca="1">OFFSET(EnumRes!$A$3,COLUMN()-12,0)&amp;"|5|10|100"</f>
        <v>MINATK|5|10|100</v>
      </c>
      <c r="U4" s="19" t="str">
        <f ca="1">OFFSET(EnumRes!$A$3,COLUMN()-12,0)&amp;"|5|10|100"</f>
        <v>MAXATK|5|10|100</v>
      </c>
      <c r="V4" s="19" t="str">
        <f ca="1">OFFSET(EnumRes!$A$3,COLUMN()-12,0)&amp;"|5|10|100"</f>
        <v>BAL|5|10|100</v>
      </c>
      <c r="W4" s="19" t="str">
        <f ca="1">OFFSET(EnumRes!$A$3,COLUMN()-12,0)&amp;"|5|10|100"</f>
        <v>CRT|5|10|100</v>
      </c>
      <c r="X4" s="19" t="str">
        <f ca="1">OFFSET(EnumRes!$A$3,COLUMN()-12,0)&amp;"|5|10|100"</f>
        <v>CRT_M|5|10|100</v>
      </c>
      <c r="Y4" s="19" t="str">
        <f ca="1">OFFSET(EnumRes!$A$3,COLUMN()-12,0)&amp;"|5|10|100"</f>
        <v>DEF|5|10|100</v>
      </c>
      <c r="Z4" s="19" t="str">
        <f ca="1">OFFSET(EnumRes!$A$3,COLUMN()-12,0)&amp;"|5|10|100"</f>
        <v>PRT|5|10|100</v>
      </c>
      <c r="AA4" s="19" t="str">
        <f ca="1">OFFSET(EnumRes!$A$3,COLUMN()-12,0)&amp;"|5|10|100"</f>
        <v>PRT_I|5|10|100</v>
      </c>
      <c r="AB4" s="19" t="str">
        <f ca="1">OFFSET(EnumRes!$A$3,COLUMN()-12,0)&amp;"|5|10|100"</f>
        <v>ATK|5|10|100</v>
      </c>
      <c r="AC4" s="19" t="str">
        <f ca="1">OFFSET(EnumRes!$A$3,COLUMN()-12,0)&amp;"|5|10|100"</f>
        <v>MAGATK|5|10|100</v>
      </c>
      <c r="AD4" s="19" t="str">
        <f ca="1">OFFSET(EnumRes!$A$3,COLUMN()-12,0)&amp;"|5|10|100"</f>
        <v>GODCHS|5|10|100</v>
      </c>
      <c r="AE4" s="19" t="str">
        <f ca="1">OFFSET(EnumRes!$A$3,COLUMN()-12,0)&amp;"|5|10|100"</f>
        <v>SKLCHS|5|10|100</v>
      </c>
    </row>
    <row r="5" spans="1:31" x14ac:dyDescent="0.3">
      <c r="A5" s="16">
        <v>1002</v>
      </c>
      <c r="B5" s="17" t="s">
        <v>225</v>
      </c>
      <c r="C5" s="16" t="s">
        <v>284</v>
      </c>
      <c r="D5" s="16" t="s">
        <v>225</v>
      </c>
      <c r="E5" s="17" t="s">
        <v>360</v>
      </c>
      <c r="F5" s="18" t="s">
        <v>362</v>
      </c>
      <c r="G5" s="18">
        <v>1</v>
      </c>
      <c r="H5" s="19" t="s">
        <v>373</v>
      </c>
      <c r="I5" s="19" t="s">
        <v>374</v>
      </c>
      <c r="J5" s="19" t="s">
        <v>375</v>
      </c>
      <c r="K5" s="19" t="s">
        <v>376</v>
      </c>
      <c r="L5" s="16">
        <v>0</v>
      </c>
      <c r="M5" s="19" t="str">
        <f ca="1">OFFSET(EnumRes!$A$3,COLUMN()-12,0)&amp;"|5|10|100"</f>
        <v>STR|5|10|100</v>
      </c>
      <c r="N5" s="19" t="str">
        <f ca="1">OFFSET(EnumRes!$A$3,COLUMN()-12,0)&amp;"|5|10|100"</f>
        <v>DEX|5|10|100</v>
      </c>
      <c r="O5" s="19" t="str">
        <f ca="1">OFFSET(EnumRes!$A$3,COLUMN()-12,0)&amp;"|5|10|100"</f>
        <v>INT|5|10|100</v>
      </c>
      <c r="P5" s="19" t="str">
        <f ca="1">OFFSET(EnumRes!$A$3,COLUMN()-12,0)&amp;"|5|10|100"</f>
        <v>WILL|5|10|100</v>
      </c>
      <c r="Q5" s="19" t="str">
        <f ca="1">OFFSET(EnumRes!$A$3,COLUMN()-12,0)&amp;"|5|10|100"</f>
        <v>LUCK|5|10|100</v>
      </c>
      <c r="R5" s="19" t="str">
        <f ca="1">OFFSET(EnumRes!$A$3,COLUMN()-12,0)&amp;"|5|10|100"</f>
        <v>HP|5|10|100</v>
      </c>
      <c r="S5" s="19" t="str">
        <f ca="1">OFFSET(EnumRes!$A$3,COLUMN()-12,0)&amp;"|5|10|100"</f>
        <v>MP|5|10|100</v>
      </c>
      <c r="T5" s="19" t="str">
        <f ca="1">OFFSET(EnumRes!$A$3,COLUMN()-12,0)&amp;"|5|10|100"</f>
        <v>MINATK|5|10|100</v>
      </c>
      <c r="U5" s="19" t="str">
        <f ca="1">OFFSET(EnumRes!$A$3,COLUMN()-12,0)&amp;"|5|10|100"</f>
        <v>MAXATK|5|10|100</v>
      </c>
      <c r="V5" s="19" t="str">
        <f ca="1">OFFSET(EnumRes!$A$3,COLUMN()-12,0)&amp;"|5|10|100"</f>
        <v>BAL|5|10|100</v>
      </c>
      <c r="W5" s="19" t="str">
        <f ca="1">OFFSET(EnumRes!$A$3,COLUMN()-12,0)&amp;"|5|10|100"</f>
        <v>CRT|5|10|100</v>
      </c>
      <c r="X5" s="19" t="str">
        <f ca="1">OFFSET(EnumRes!$A$3,COLUMN()-12,0)&amp;"|5|10|100"</f>
        <v>CRT_M|5|10|100</v>
      </c>
      <c r="Y5" s="19" t="str">
        <f ca="1">OFFSET(EnumRes!$A$3,COLUMN()-12,0)&amp;"|5|10|100"</f>
        <v>DEF|5|10|100</v>
      </c>
      <c r="Z5" s="19" t="str">
        <f ca="1">OFFSET(EnumRes!$A$3,COLUMN()-12,0)&amp;"|5|10|100"</f>
        <v>PRT|5|10|100</v>
      </c>
      <c r="AA5" s="19" t="str">
        <f ca="1">OFFSET(EnumRes!$A$3,COLUMN()-12,0)&amp;"|5|10|100"</f>
        <v>PRT_I|5|10|100</v>
      </c>
      <c r="AB5" s="19" t="str">
        <f ca="1">OFFSET(EnumRes!$A$3,COLUMN()-12,0)&amp;"|5|10|100"</f>
        <v>ATK|5|10|100</v>
      </c>
      <c r="AC5" s="19" t="str">
        <f ca="1">OFFSET(EnumRes!$A$3,COLUMN()-12,0)&amp;"|5|10|100"</f>
        <v>MAGATK|5|10|100</v>
      </c>
      <c r="AD5" s="19" t="str">
        <f ca="1">OFFSET(EnumRes!$A$3,COLUMN()-12,0)&amp;"|5|10|100"</f>
        <v>GODCHS|5|10|100</v>
      </c>
      <c r="AE5" s="19" t="str">
        <f ca="1">OFFSET(EnumRes!$A$3,COLUMN()-12,0)&amp;"|5|10|100"</f>
        <v>SKLCHS|5|10|100</v>
      </c>
    </row>
    <row r="6" spans="1:31" x14ac:dyDescent="0.3">
      <c r="A6" s="16">
        <v>1003</v>
      </c>
      <c r="B6" s="17" t="s">
        <v>227</v>
      </c>
      <c r="C6" s="16" t="s">
        <v>284</v>
      </c>
      <c r="D6" s="16" t="s">
        <v>227</v>
      </c>
      <c r="E6" s="17" t="s">
        <v>361</v>
      </c>
      <c r="F6" s="18" t="s">
        <v>362</v>
      </c>
      <c r="G6" s="18">
        <v>1</v>
      </c>
      <c r="H6" s="19" t="s">
        <v>373</v>
      </c>
      <c r="I6" s="19" t="s">
        <v>374</v>
      </c>
      <c r="J6" s="19" t="s">
        <v>375</v>
      </c>
      <c r="K6" s="19" t="s">
        <v>376</v>
      </c>
      <c r="L6" s="16">
        <v>0</v>
      </c>
      <c r="M6" s="19" t="str">
        <f ca="1">OFFSET(EnumRes!$A$3,COLUMN()-12,0)&amp;"|5|10|100"</f>
        <v>STR|5|10|100</v>
      </c>
      <c r="N6" s="19" t="str">
        <f ca="1">OFFSET(EnumRes!$A$3,COLUMN()-12,0)&amp;"|5|10|100"</f>
        <v>DEX|5|10|100</v>
      </c>
      <c r="O6" s="19" t="str">
        <f ca="1">OFFSET(EnumRes!$A$3,COLUMN()-12,0)&amp;"|5|10|100"</f>
        <v>INT|5|10|100</v>
      </c>
      <c r="P6" s="19" t="str">
        <f ca="1">OFFSET(EnumRes!$A$3,COLUMN()-12,0)&amp;"|5|10|100"</f>
        <v>WILL|5|10|100</v>
      </c>
      <c r="Q6" s="19" t="str">
        <f ca="1">OFFSET(EnumRes!$A$3,COLUMN()-12,0)&amp;"|5|10|100"</f>
        <v>LUCK|5|10|100</v>
      </c>
      <c r="R6" s="19" t="str">
        <f ca="1">OFFSET(EnumRes!$A$3,COLUMN()-12,0)&amp;"|5|10|100"</f>
        <v>HP|5|10|100</v>
      </c>
      <c r="S6" s="19" t="str">
        <f ca="1">OFFSET(EnumRes!$A$3,COLUMN()-12,0)&amp;"|5|10|100"</f>
        <v>MP|5|10|100</v>
      </c>
      <c r="T6" s="19" t="str">
        <f ca="1">OFFSET(EnumRes!$A$3,COLUMN()-12,0)&amp;"|5|10|100"</f>
        <v>MINATK|5|10|100</v>
      </c>
      <c r="U6" s="19" t="str">
        <f ca="1">OFFSET(EnumRes!$A$3,COLUMN()-12,0)&amp;"|5|10|100"</f>
        <v>MAXATK|5|10|100</v>
      </c>
      <c r="V6" s="19" t="str">
        <f ca="1">OFFSET(EnumRes!$A$3,COLUMN()-12,0)&amp;"|5|10|100"</f>
        <v>BAL|5|10|100</v>
      </c>
      <c r="W6" s="19" t="str">
        <f ca="1">OFFSET(EnumRes!$A$3,COLUMN()-12,0)&amp;"|5|10|100"</f>
        <v>CRT|5|10|100</v>
      </c>
      <c r="X6" s="19" t="str">
        <f ca="1">OFFSET(EnumRes!$A$3,COLUMN()-12,0)&amp;"|5|10|100"</f>
        <v>CRT_M|5|10|100</v>
      </c>
      <c r="Y6" s="19" t="str">
        <f ca="1">OFFSET(EnumRes!$A$3,COLUMN()-12,0)&amp;"|5|10|100"</f>
        <v>DEF|5|10|100</v>
      </c>
      <c r="Z6" s="19" t="str">
        <f ca="1">OFFSET(EnumRes!$A$3,COLUMN()-12,0)&amp;"|5|10|100"</f>
        <v>PRT|5|10|100</v>
      </c>
      <c r="AA6" s="19" t="str">
        <f ca="1">OFFSET(EnumRes!$A$3,COLUMN()-12,0)&amp;"|5|10|100"</f>
        <v>PRT_I|5|10|100</v>
      </c>
      <c r="AB6" s="19" t="str">
        <f ca="1">OFFSET(EnumRes!$A$3,COLUMN()-12,0)&amp;"|5|10|100"</f>
        <v>ATK|5|10|100</v>
      </c>
      <c r="AC6" s="19" t="str">
        <f ca="1">OFFSET(EnumRes!$A$3,COLUMN()-12,0)&amp;"|5|10|100"</f>
        <v>MAGATK|5|10|100</v>
      </c>
      <c r="AD6" s="19" t="str">
        <f ca="1">OFFSET(EnumRes!$A$3,COLUMN()-12,0)&amp;"|5|10|100"</f>
        <v>GODCHS|5|10|100</v>
      </c>
      <c r="AE6" s="19" t="str">
        <f ca="1">OFFSET(EnumRes!$A$3,COLUMN()-12,0)&amp;"|5|10|100"</f>
        <v>SKLCHS|5|10|100</v>
      </c>
    </row>
    <row r="7" spans="1:31" x14ac:dyDescent="0.3">
      <c r="A7" s="16">
        <v>1004</v>
      </c>
      <c r="B7" s="17" t="s">
        <v>229</v>
      </c>
      <c r="C7" s="16" t="s">
        <v>284</v>
      </c>
      <c r="D7" s="16" t="s">
        <v>229</v>
      </c>
      <c r="E7" s="17" t="s">
        <v>361</v>
      </c>
      <c r="F7" s="18" t="s">
        <v>362</v>
      </c>
      <c r="G7" s="18">
        <v>1</v>
      </c>
      <c r="H7" s="19" t="s">
        <v>373</v>
      </c>
      <c r="I7" s="19" t="s">
        <v>374</v>
      </c>
      <c r="J7" s="19" t="s">
        <v>375</v>
      </c>
      <c r="K7" s="19" t="s">
        <v>376</v>
      </c>
      <c r="L7" s="16">
        <v>0</v>
      </c>
      <c r="M7" s="19" t="str">
        <f ca="1">OFFSET(EnumRes!$A$3,COLUMN()-12,0)&amp;"|5|10|100"</f>
        <v>STR|5|10|100</v>
      </c>
      <c r="N7" s="19" t="str">
        <f ca="1">OFFSET(EnumRes!$A$3,COLUMN()-12,0)&amp;"|5|10|100"</f>
        <v>DEX|5|10|100</v>
      </c>
      <c r="O7" s="19" t="str">
        <f ca="1">OFFSET(EnumRes!$A$3,COLUMN()-12,0)&amp;"|5|10|100"</f>
        <v>INT|5|10|100</v>
      </c>
      <c r="P7" s="19" t="str">
        <f ca="1">OFFSET(EnumRes!$A$3,COLUMN()-12,0)&amp;"|5|10|100"</f>
        <v>WILL|5|10|100</v>
      </c>
      <c r="Q7" s="19" t="str">
        <f ca="1">OFFSET(EnumRes!$A$3,COLUMN()-12,0)&amp;"|5|10|100"</f>
        <v>LUCK|5|10|100</v>
      </c>
      <c r="R7" s="19" t="str">
        <f ca="1">OFFSET(EnumRes!$A$3,COLUMN()-12,0)&amp;"|5|10|100"</f>
        <v>HP|5|10|100</v>
      </c>
      <c r="S7" s="19" t="str">
        <f ca="1">OFFSET(EnumRes!$A$3,COLUMN()-12,0)&amp;"|5|10|100"</f>
        <v>MP|5|10|100</v>
      </c>
      <c r="T7" s="19" t="str">
        <f ca="1">OFFSET(EnumRes!$A$3,COLUMN()-12,0)&amp;"|5|10|100"</f>
        <v>MINATK|5|10|100</v>
      </c>
      <c r="U7" s="19" t="str">
        <f ca="1">OFFSET(EnumRes!$A$3,COLUMN()-12,0)&amp;"|5|10|100"</f>
        <v>MAXATK|5|10|100</v>
      </c>
      <c r="V7" s="19" t="str">
        <f ca="1">OFFSET(EnumRes!$A$3,COLUMN()-12,0)&amp;"|5|10|100"</f>
        <v>BAL|5|10|100</v>
      </c>
      <c r="W7" s="19" t="str">
        <f ca="1">OFFSET(EnumRes!$A$3,COLUMN()-12,0)&amp;"|5|10|100"</f>
        <v>CRT|5|10|100</v>
      </c>
      <c r="X7" s="19" t="str">
        <f ca="1">OFFSET(EnumRes!$A$3,COLUMN()-12,0)&amp;"|5|10|100"</f>
        <v>CRT_M|5|10|100</v>
      </c>
      <c r="Y7" s="19" t="str">
        <f ca="1">OFFSET(EnumRes!$A$3,COLUMN()-12,0)&amp;"|5|10|100"</f>
        <v>DEF|5|10|100</v>
      </c>
      <c r="Z7" s="19" t="str">
        <f ca="1">OFFSET(EnumRes!$A$3,COLUMN()-12,0)&amp;"|5|10|100"</f>
        <v>PRT|5|10|100</v>
      </c>
      <c r="AA7" s="19" t="str">
        <f ca="1">OFFSET(EnumRes!$A$3,COLUMN()-12,0)&amp;"|5|10|100"</f>
        <v>PRT_I|5|10|100</v>
      </c>
      <c r="AB7" s="19" t="str">
        <f ca="1">OFFSET(EnumRes!$A$3,COLUMN()-12,0)&amp;"|5|10|100"</f>
        <v>ATK|5|10|100</v>
      </c>
      <c r="AC7" s="19" t="str">
        <f ca="1">OFFSET(EnumRes!$A$3,COLUMN()-12,0)&amp;"|5|10|100"</f>
        <v>MAGATK|5|10|100</v>
      </c>
      <c r="AD7" s="19" t="str">
        <f ca="1">OFFSET(EnumRes!$A$3,COLUMN()-12,0)&amp;"|5|10|100"</f>
        <v>GODCHS|5|10|100</v>
      </c>
      <c r="AE7" s="19" t="str">
        <f ca="1">OFFSET(EnumRes!$A$3,COLUMN()-12,0)&amp;"|5|10|100"</f>
        <v>SKLCHS|5|10|100</v>
      </c>
    </row>
    <row r="8" spans="1:31" x14ac:dyDescent="0.3">
      <c r="A8" s="16">
        <v>1005</v>
      </c>
      <c r="B8" s="17" t="s">
        <v>231</v>
      </c>
      <c r="C8" s="16" t="s">
        <v>284</v>
      </c>
      <c r="D8" s="16" t="s">
        <v>231</v>
      </c>
      <c r="E8" s="17" t="s">
        <v>359</v>
      </c>
      <c r="F8" s="18" t="s">
        <v>362</v>
      </c>
      <c r="G8" s="18">
        <v>1</v>
      </c>
      <c r="H8" s="19" t="s">
        <v>373</v>
      </c>
      <c r="I8" s="19" t="s">
        <v>374</v>
      </c>
      <c r="J8" s="19" t="s">
        <v>375</v>
      </c>
      <c r="K8" s="19" t="s">
        <v>376</v>
      </c>
      <c r="L8" s="16">
        <v>0</v>
      </c>
      <c r="M8" s="19" t="str">
        <f ca="1">OFFSET(EnumRes!$A$3,COLUMN()-12,0)&amp;"|5|10|100"</f>
        <v>STR|5|10|100</v>
      </c>
      <c r="N8" s="19" t="str">
        <f ca="1">OFFSET(EnumRes!$A$3,COLUMN()-12,0)&amp;"|5|10|100"</f>
        <v>DEX|5|10|100</v>
      </c>
      <c r="O8" s="19" t="str">
        <f ca="1">OFFSET(EnumRes!$A$3,COLUMN()-12,0)&amp;"|5|10|100"</f>
        <v>INT|5|10|100</v>
      </c>
      <c r="P8" s="19" t="str">
        <f ca="1">OFFSET(EnumRes!$A$3,COLUMN()-12,0)&amp;"|5|10|100"</f>
        <v>WILL|5|10|100</v>
      </c>
      <c r="Q8" s="19" t="str">
        <f ca="1">OFFSET(EnumRes!$A$3,COLUMN()-12,0)&amp;"|5|10|100"</f>
        <v>LUCK|5|10|100</v>
      </c>
      <c r="R8" s="19" t="str">
        <f ca="1">OFFSET(EnumRes!$A$3,COLUMN()-12,0)&amp;"|5|10|100"</f>
        <v>HP|5|10|100</v>
      </c>
      <c r="S8" s="19" t="str">
        <f ca="1">OFFSET(EnumRes!$A$3,COLUMN()-12,0)&amp;"|5|10|100"</f>
        <v>MP|5|10|100</v>
      </c>
      <c r="T8" s="19" t="str">
        <f ca="1">OFFSET(EnumRes!$A$3,COLUMN()-12,0)&amp;"|5|10|100"</f>
        <v>MINATK|5|10|100</v>
      </c>
      <c r="U8" s="19" t="str">
        <f ca="1">OFFSET(EnumRes!$A$3,COLUMN()-12,0)&amp;"|5|10|100"</f>
        <v>MAXATK|5|10|100</v>
      </c>
      <c r="V8" s="19" t="str">
        <f ca="1">OFFSET(EnumRes!$A$3,COLUMN()-12,0)&amp;"|5|10|100"</f>
        <v>BAL|5|10|100</v>
      </c>
      <c r="W8" s="19" t="str">
        <f ca="1">OFFSET(EnumRes!$A$3,COLUMN()-12,0)&amp;"|5|10|100"</f>
        <v>CRT|5|10|100</v>
      </c>
      <c r="X8" s="19" t="str">
        <f ca="1">OFFSET(EnumRes!$A$3,COLUMN()-12,0)&amp;"|5|10|100"</f>
        <v>CRT_M|5|10|100</v>
      </c>
      <c r="Y8" s="19" t="str">
        <f ca="1">OFFSET(EnumRes!$A$3,COLUMN()-12,0)&amp;"|5|10|100"</f>
        <v>DEF|5|10|100</v>
      </c>
      <c r="Z8" s="19" t="str">
        <f ca="1">OFFSET(EnumRes!$A$3,COLUMN()-12,0)&amp;"|5|10|100"</f>
        <v>PRT|5|10|100</v>
      </c>
      <c r="AA8" s="19" t="str">
        <f ca="1">OFFSET(EnumRes!$A$3,COLUMN()-12,0)&amp;"|5|10|100"</f>
        <v>PRT_I|5|10|100</v>
      </c>
      <c r="AB8" s="19" t="str">
        <f ca="1">OFFSET(EnumRes!$A$3,COLUMN()-12,0)&amp;"|5|10|100"</f>
        <v>ATK|5|10|100</v>
      </c>
      <c r="AC8" s="19" t="str">
        <f ca="1">OFFSET(EnumRes!$A$3,COLUMN()-12,0)&amp;"|5|10|100"</f>
        <v>MAGATK|5|10|100</v>
      </c>
      <c r="AD8" s="19" t="str">
        <f ca="1">OFFSET(EnumRes!$A$3,COLUMN()-12,0)&amp;"|5|10|100"</f>
        <v>GODCHS|5|10|100</v>
      </c>
      <c r="AE8" s="19" t="str">
        <f ca="1">OFFSET(EnumRes!$A$3,COLUMN()-12,0)&amp;"|5|10|100"</f>
        <v>SKLCHS|5|10|100</v>
      </c>
    </row>
    <row r="9" spans="1:31" x14ac:dyDescent="0.3">
      <c r="A9" s="16">
        <v>1006</v>
      </c>
      <c r="B9" s="17" t="s">
        <v>233</v>
      </c>
      <c r="C9" s="16" t="s">
        <v>284</v>
      </c>
      <c r="D9" s="16" t="s">
        <v>233</v>
      </c>
      <c r="E9" s="17" t="s">
        <v>360</v>
      </c>
      <c r="F9" s="18" t="s">
        <v>362</v>
      </c>
      <c r="G9" s="18">
        <v>1</v>
      </c>
      <c r="H9" s="19" t="s">
        <v>373</v>
      </c>
      <c r="I9" s="19" t="s">
        <v>374</v>
      </c>
      <c r="J9" s="19" t="s">
        <v>375</v>
      </c>
      <c r="K9" s="19" t="s">
        <v>376</v>
      </c>
      <c r="L9" s="16">
        <v>0</v>
      </c>
      <c r="M9" s="19" t="str">
        <f ca="1">OFFSET(EnumRes!$A$3,COLUMN()-12,0)&amp;"|5|10|100"</f>
        <v>STR|5|10|100</v>
      </c>
      <c r="N9" s="19" t="str">
        <f ca="1">OFFSET(EnumRes!$A$3,COLUMN()-12,0)&amp;"|5|10|100"</f>
        <v>DEX|5|10|100</v>
      </c>
      <c r="O9" s="19" t="str">
        <f ca="1">OFFSET(EnumRes!$A$3,COLUMN()-12,0)&amp;"|5|10|100"</f>
        <v>INT|5|10|100</v>
      </c>
      <c r="P9" s="19" t="str">
        <f ca="1">OFFSET(EnumRes!$A$3,COLUMN()-12,0)&amp;"|5|10|100"</f>
        <v>WILL|5|10|100</v>
      </c>
      <c r="Q9" s="19" t="str">
        <f ca="1">OFFSET(EnumRes!$A$3,COLUMN()-12,0)&amp;"|5|10|100"</f>
        <v>LUCK|5|10|100</v>
      </c>
      <c r="R9" s="19" t="str">
        <f ca="1">OFFSET(EnumRes!$A$3,COLUMN()-12,0)&amp;"|5|10|100"</f>
        <v>HP|5|10|100</v>
      </c>
      <c r="S9" s="19" t="str">
        <f ca="1">OFFSET(EnumRes!$A$3,COLUMN()-12,0)&amp;"|5|10|100"</f>
        <v>MP|5|10|100</v>
      </c>
      <c r="T9" s="19" t="str">
        <f ca="1">OFFSET(EnumRes!$A$3,COLUMN()-12,0)&amp;"|5|10|100"</f>
        <v>MINATK|5|10|100</v>
      </c>
      <c r="U9" s="19" t="str">
        <f ca="1">OFFSET(EnumRes!$A$3,COLUMN()-12,0)&amp;"|5|10|100"</f>
        <v>MAXATK|5|10|100</v>
      </c>
      <c r="V9" s="19" t="str">
        <f ca="1">OFFSET(EnumRes!$A$3,COLUMN()-12,0)&amp;"|5|10|100"</f>
        <v>BAL|5|10|100</v>
      </c>
      <c r="W9" s="19" t="str">
        <f ca="1">OFFSET(EnumRes!$A$3,COLUMN()-12,0)&amp;"|5|10|100"</f>
        <v>CRT|5|10|100</v>
      </c>
      <c r="X9" s="19" t="str">
        <f ca="1">OFFSET(EnumRes!$A$3,COLUMN()-12,0)&amp;"|5|10|100"</f>
        <v>CRT_M|5|10|100</v>
      </c>
      <c r="Y9" s="19" t="str">
        <f ca="1">OFFSET(EnumRes!$A$3,COLUMN()-12,0)&amp;"|5|10|100"</f>
        <v>DEF|5|10|100</v>
      </c>
      <c r="Z9" s="19" t="str">
        <f ca="1">OFFSET(EnumRes!$A$3,COLUMN()-12,0)&amp;"|5|10|100"</f>
        <v>PRT|5|10|100</v>
      </c>
      <c r="AA9" s="19" t="str">
        <f ca="1">OFFSET(EnumRes!$A$3,COLUMN()-12,0)&amp;"|5|10|100"</f>
        <v>PRT_I|5|10|100</v>
      </c>
      <c r="AB9" s="19" t="str">
        <f ca="1">OFFSET(EnumRes!$A$3,COLUMN()-12,0)&amp;"|5|10|100"</f>
        <v>ATK|5|10|100</v>
      </c>
      <c r="AC9" s="19" t="str">
        <f ca="1">OFFSET(EnumRes!$A$3,COLUMN()-12,0)&amp;"|5|10|100"</f>
        <v>MAGATK|5|10|100</v>
      </c>
      <c r="AD9" s="19" t="str">
        <f ca="1">OFFSET(EnumRes!$A$3,COLUMN()-12,0)&amp;"|5|10|100"</f>
        <v>GODCHS|5|10|100</v>
      </c>
      <c r="AE9" s="19" t="str">
        <f ca="1">OFFSET(EnumRes!$A$3,COLUMN()-12,0)&amp;"|5|10|100"</f>
        <v>SKLCHS|5|10|100</v>
      </c>
    </row>
    <row r="10" spans="1:31" x14ac:dyDescent="0.3">
      <c r="A10" s="16">
        <v>1007</v>
      </c>
      <c r="B10" s="17" t="s">
        <v>285</v>
      </c>
      <c r="C10" s="16" t="s">
        <v>284</v>
      </c>
      <c r="D10" s="16" t="s">
        <v>285</v>
      </c>
      <c r="E10" s="18" t="s">
        <v>352</v>
      </c>
      <c r="F10" s="18" t="s">
        <v>362</v>
      </c>
      <c r="G10" s="18">
        <v>1</v>
      </c>
      <c r="H10" s="19" t="s">
        <v>373</v>
      </c>
      <c r="I10" s="19" t="s">
        <v>374</v>
      </c>
      <c r="J10" s="19" t="s">
        <v>376</v>
      </c>
      <c r="K10" s="19" t="s">
        <v>377</v>
      </c>
      <c r="L10" s="16">
        <v>0</v>
      </c>
      <c r="M10" s="19" t="str">
        <f ca="1">OFFSET(EnumRes!$A$3,COLUMN()-12,0)&amp;"|5|10|100"</f>
        <v>STR|5|10|100</v>
      </c>
      <c r="N10" s="19" t="str">
        <f ca="1">OFFSET(EnumRes!$A$3,COLUMN()-12,0)&amp;"|5|10|100"</f>
        <v>DEX|5|10|100</v>
      </c>
      <c r="O10" s="19" t="str">
        <f ca="1">OFFSET(EnumRes!$A$3,COLUMN()-12,0)&amp;"|5|10|100"</f>
        <v>INT|5|10|100</v>
      </c>
      <c r="P10" s="19" t="str">
        <f ca="1">OFFSET(EnumRes!$A$3,COLUMN()-12,0)&amp;"|5|10|100"</f>
        <v>WILL|5|10|100</v>
      </c>
      <c r="Q10" s="19" t="str">
        <f ca="1">OFFSET(EnumRes!$A$3,COLUMN()-12,0)&amp;"|5|10|100"</f>
        <v>LUCK|5|10|100</v>
      </c>
      <c r="R10" s="19" t="str">
        <f ca="1">OFFSET(EnumRes!$A$3,COLUMN()-12,0)&amp;"|5|10|100"</f>
        <v>HP|5|10|100</v>
      </c>
      <c r="S10" s="19" t="str">
        <f ca="1">OFFSET(EnumRes!$A$3,COLUMN()-12,0)&amp;"|5|10|100"</f>
        <v>MP|5|10|100</v>
      </c>
      <c r="T10" s="19" t="str">
        <f ca="1">OFFSET(EnumRes!$A$3,COLUMN()-12,0)&amp;"|5|10|100"</f>
        <v>MINATK|5|10|100</v>
      </c>
      <c r="U10" s="19" t="str">
        <f ca="1">OFFSET(EnumRes!$A$3,COLUMN()-12,0)&amp;"|5|10|100"</f>
        <v>MAXATK|5|10|100</v>
      </c>
      <c r="V10" s="19" t="str">
        <f ca="1">OFFSET(EnumRes!$A$3,COLUMN()-12,0)&amp;"|5|10|100"</f>
        <v>BAL|5|10|100</v>
      </c>
      <c r="W10" s="19" t="str">
        <f ca="1">OFFSET(EnumRes!$A$3,COLUMN()-12,0)&amp;"|5|10|100"</f>
        <v>CRT|5|10|100</v>
      </c>
      <c r="X10" s="19" t="str">
        <f ca="1">OFFSET(EnumRes!$A$3,COLUMN()-12,0)&amp;"|5|10|100"</f>
        <v>CRT_M|5|10|100</v>
      </c>
      <c r="Y10" s="19" t="str">
        <f ca="1">OFFSET(EnumRes!$A$3,COLUMN()-12,0)&amp;"|5|10|100"</f>
        <v>DEF|5|10|100</v>
      </c>
      <c r="Z10" s="19" t="str">
        <f ca="1">OFFSET(EnumRes!$A$3,COLUMN()-12,0)&amp;"|5|10|100"</f>
        <v>PRT|5|10|100</v>
      </c>
      <c r="AA10" s="19" t="str">
        <f ca="1">OFFSET(EnumRes!$A$3,COLUMN()-12,0)&amp;"|5|10|100"</f>
        <v>PRT_I|5|10|100</v>
      </c>
      <c r="AB10" s="19" t="str">
        <f ca="1">OFFSET(EnumRes!$A$3,COLUMN()-12,0)&amp;"|5|10|100"</f>
        <v>ATK|5|10|100</v>
      </c>
      <c r="AC10" s="19" t="str">
        <f ca="1">OFFSET(EnumRes!$A$3,COLUMN()-12,0)&amp;"|5|10|100"</f>
        <v>MAGATK|5|10|100</v>
      </c>
      <c r="AD10" s="19" t="str">
        <f ca="1">OFFSET(EnumRes!$A$3,COLUMN()-12,0)&amp;"|5|10|100"</f>
        <v>GODCHS|5|10|100</v>
      </c>
      <c r="AE10" s="19" t="str">
        <f ca="1">OFFSET(EnumRes!$A$3,COLUMN()-12,0)&amp;"|5|10|100"</f>
        <v>SKLCHS|5|10|100</v>
      </c>
    </row>
    <row r="11" spans="1:31" x14ac:dyDescent="0.3">
      <c r="A11" s="16">
        <v>1008</v>
      </c>
      <c r="B11" s="17" t="s">
        <v>286</v>
      </c>
      <c r="C11" s="16" t="s">
        <v>284</v>
      </c>
      <c r="D11" s="16" t="s">
        <v>286</v>
      </c>
      <c r="E11" s="18" t="s">
        <v>352</v>
      </c>
      <c r="F11" s="18" t="s">
        <v>362</v>
      </c>
      <c r="G11" s="18">
        <v>1</v>
      </c>
      <c r="H11" s="19" t="s">
        <v>378</v>
      </c>
      <c r="I11" s="19" t="s">
        <v>379</v>
      </c>
      <c r="J11" s="19" t="s">
        <v>377</v>
      </c>
      <c r="K11" s="19" t="s">
        <v>377</v>
      </c>
      <c r="L11" s="16">
        <v>0</v>
      </c>
      <c r="M11" s="19" t="str">
        <f ca="1">OFFSET(EnumRes!$A$3,COLUMN()-12,0)&amp;"|5|10|100"</f>
        <v>STR|5|10|100</v>
      </c>
      <c r="N11" s="19" t="str">
        <f ca="1">OFFSET(EnumRes!$A$3,COLUMN()-12,0)&amp;"|5|10|100"</f>
        <v>DEX|5|10|100</v>
      </c>
      <c r="O11" s="19" t="str">
        <f ca="1">OFFSET(EnumRes!$A$3,COLUMN()-12,0)&amp;"|5|10|100"</f>
        <v>INT|5|10|100</v>
      </c>
      <c r="P11" s="19" t="str">
        <f ca="1">OFFSET(EnumRes!$A$3,COLUMN()-12,0)&amp;"|5|10|100"</f>
        <v>WILL|5|10|100</v>
      </c>
      <c r="Q11" s="19" t="str">
        <f ca="1">OFFSET(EnumRes!$A$3,COLUMN()-12,0)&amp;"|5|10|100"</f>
        <v>LUCK|5|10|100</v>
      </c>
      <c r="R11" s="19" t="str">
        <f ca="1">OFFSET(EnumRes!$A$3,COLUMN()-12,0)&amp;"|5|10|100"</f>
        <v>HP|5|10|100</v>
      </c>
      <c r="S11" s="19" t="str">
        <f ca="1">OFFSET(EnumRes!$A$3,COLUMN()-12,0)&amp;"|5|10|100"</f>
        <v>MP|5|10|100</v>
      </c>
      <c r="T11" s="19" t="str">
        <f ca="1">OFFSET(EnumRes!$A$3,COLUMN()-12,0)&amp;"|5|10|100"</f>
        <v>MINATK|5|10|100</v>
      </c>
      <c r="U11" s="19" t="str">
        <f ca="1">OFFSET(EnumRes!$A$3,COLUMN()-12,0)&amp;"|5|10|100"</f>
        <v>MAXATK|5|10|100</v>
      </c>
      <c r="V11" s="19" t="str">
        <f ca="1">OFFSET(EnumRes!$A$3,COLUMN()-12,0)&amp;"|5|10|100"</f>
        <v>BAL|5|10|100</v>
      </c>
      <c r="W11" s="19" t="str">
        <f ca="1">OFFSET(EnumRes!$A$3,COLUMN()-12,0)&amp;"|5|10|100"</f>
        <v>CRT|5|10|100</v>
      </c>
      <c r="X11" s="19" t="str">
        <f ca="1">OFFSET(EnumRes!$A$3,COLUMN()-12,0)&amp;"|5|10|100"</f>
        <v>CRT_M|5|10|100</v>
      </c>
      <c r="Y11" s="19" t="str">
        <f ca="1">OFFSET(EnumRes!$A$3,COLUMN()-12,0)&amp;"|5|10|100"</f>
        <v>DEF|5|10|100</v>
      </c>
      <c r="Z11" s="19" t="str">
        <f ca="1">OFFSET(EnumRes!$A$3,COLUMN()-12,0)&amp;"|5|10|100"</f>
        <v>PRT|5|10|100</v>
      </c>
      <c r="AA11" s="19" t="str">
        <f ca="1">OFFSET(EnumRes!$A$3,COLUMN()-12,0)&amp;"|5|10|100"</f>
        <v>PRT_I|5|10|100</v>
      </c>
      <c r="AB11" s="19" t="str">
        <f ca="1">OFFSET(EnumRes!$A$3,COLUMN()-12,0)&amp;"|5|10|100"</f>
        <v>ATK|5|10|100</v>
      </c>
      <c r="AC11" s="19" t="str">
        <f ca="1">OFFSET(EnumRes!$A$3,COLUMN()-12,0)&amp;"|5|10|100"</f>
        <v>MAGATK|5|10|100</v>
      </c>
      <c r="AD11" s="19" t="str">
        <f ca="1">OFFSET(EnumRes!$A$3,COLUMN()-12,0)&amp;"|5|10|100"</f>
        <v>GODCHS|5|10|100</v>
      </c>
      <c r="AE11" s="19" t="str">
        <f ca="1">OFFSET(EnumRes!$A$3,COLUMN()-12,0)&amp;"|5|10|100"</f>
        <v>SKLCHS|5|10|100</v>
      </c>
    </row>
    <row r="12" spans="1:31" x14ac:dyDescent="0.3">
      <c r="A12" s="16">
        <v>1009</v>
      </c>
      <c r="B12" s="17" t="s">
        <v>287</v>
      </c>
      <c r="C12" s="16" t="s">
        <v>284</v>
      </c>
      <c r="D12" s="16" t="s">
        <v>287</v>
      </c>
      <c r="E12" s="18" t="s">
        <v>352</v>
      </c>
      <c r="F12" s="18" t="s">
        <v>362</v>
      </c>
      <c r="G12" s="18">
        <v>1</v>
      </c>
      <c r="H12" s="19" t="s">
        <v>379</v>
      </c>
      <c r="I12" s="19" t="s">
        <v>380</v>
      </c>
      <c r="J12" s="19" t="s">
        <v>377</v>
      </c>
      <c r="K12" s="19" t="s">
        <v>377</v>
      </c>
      <c r="L12" s="16">
        <v>0</v>
      </c>
      <c r="M12" s="19" t="str">
        <f ca="1">OFFSET(EnumRes!$A$3,COLUMN()-12,0)&amp;"|5|10|100"</f>
        <v>STR|5|10|100</v>
      </c>
      <c r="N12" s="19" t="str">
        <f ca="1">OFFSET(EnumRes!$A$3,COLUMN()-12,0)&amp;"|5|10|100"</f>
        <v>DEX|5|10|100</v>
      </c>
      <c r="O12" s="19" t="str">
        <f ca="1">OFFSET(EnumRes!$A$3,COLUMN()-12,0)&amp;"|5|10|100"</f>
        <v>INT|5|10|100</v>
      </c>
      <c r="P12" s="19" t="str">
        <f ca="1">OFFSET(EnumRes!$A$3,COLUMN()-12,0)&amp;"|5|10|100"</f>
        <v>WILL|5|10|100</v>
      </c>
      <c r="Q12" s="19" t="str">
        <f ca="1">OFFSET(EnumRes!$A$3,COLUMN()-12,0)&amp;"|5|10|100"</f>
        <v>LUCK|5|10|100</v>
      </c>
      <c r="R12" s="19" t="str">
        <f ca="1">OFFSET(EnumRes!$A$3,COLUMN()-12,0)&amp;"|5|10|100"</f>
        <v>HP|5|10|100</v>
      </c>
      <c r="S12" s="19" t="str">
        <f ca="1">OFFSET(EnumRes!$A$3,COLUMN()-12,0)&amp;"|5|10|100"</f>
        <v>MP|5|10|100</v>
      </c>
      <c r="T12" s="19" t="str">
        <f ca="1">OFFSET(EnumRes!$A$3,COLUMN()-12,0)&amp;"|5|10|100"</f>
        <v>MINATK|5|10|100</v>
      </c>
      <c r="U12" s="19" t="str">
        <f ca="1">OFFSET(EnumRes!$A$3,COLUMN()-12,0)&amp;"|5|10|100"</f>
        <v>MAXATK|5|10|100</v>
      </c>
      <c r="V12" s="19" t="str">
        <f ca="1">OFFSET(EnumRes!$A$3,COLUMN()-12,0)&amp;"|5|10|100"</f>
        <v>BAL|5|10|100</v>
      </c>
      <c r="W12" s="19" t="str">
        <f ca="1">OFFSET(EnumRes!$A$3,COLUMN()-12,0)&amp;"|5|10|100"</f>
        <v>CRT|5|10|100</v>
      </c>
      <c r="X12" s="19" t="str">
        <f ca="1">OFFSET(EnumRes!$A$3,COLUMN()-12,0)&amp;"|5|10|100"</f>
        <v>CRT_M|5|10|100</v>
      </c>
      <c r="Y12" s="19" t="str">
        <f ca="1">OFFSET(EnumRes!$A$3,COLUMN()-12,0)&amp;"|5|10|100"</f>
        <v>DEF|5|10|100</v>
      </c>
      <c r="Z12" s="19" t="str">
        <f ca="1">OFFSET(EnumRes!$A$3,COLUMN()-12,0)&amp;"|5|10|100"</f>
        <v>PRT|5|10|100</v>
      </c>
      <c r="AA12" s="19" t="str">
        <f ca="1">OFFSET(EnumRes!$A$3,COLUMN()-12,0)&amp;"|5|10|100"</f>
        <v>PRT_I|5|10|100</v>
      </c>
      <c r="AB12" s="19" t="str">
        <f ca="1">OFFSET(EnumRes!$A$3,COLUMN()-12,0)&amp;"|5|10|100"</f>
        <v>ATK|5|10|100</v>
      </c>
      <c r="AC12" s="19" t="str">
        <f ca="1">OFFSET(EnumRes!$A$3,COLUMN()-12,0)&amp;"|5|10|100"</f>
        <v>MAGATK|5|10|100</v>
      </c>
      <c r="AD12" s="19" t="str">
        <f ca="1">OFFSET(EnumRes!$A$3,COLUMN()-12,0)&amp;"|5|10|100"</f>
        <v>GODCHS|5|10|100</v>
      </c>
      <c r="AE12" s="19" t="str">
        <f ca="1">OFFSET(EnumRes!$A$3,COLUMN()-12,0)&amp;"|5|10|100"</f>
        <v>SKLCHS|5|10|100</v>
      </c>
    </row>
    <row r="13" spans="1:31" x14ac:dyDescent="0.3">
      <c r="A13" s="16">
        <v>1010</v>
      </c>
      <c r="B13" s="17" t="s">
        <v>291</v>
      </c>
      <c r="C13" s="16" t="s">
        <v>284</v>
      </c>
      <c r="D13" s="16" t="s">
        <v>290</v>
      </c>
      <c r="E13" s="18" t="s">
        <v>352</v>
      </c>
      <c r="F13" s="18" t="s">
        <v>362</v>
      </c>
      <c r="G13" s="18">
        <v>1</v>
      </c>
      <c r="H13" s="19" t="s">
        <v>379</v>
      </c>
      <c r="I13" s="19" t="s">
        <v>380</v>
      </c>
      <c r="J13" s="19" t="s">
        <v>377</v>
      </c>
      <c r="K13" s="19" t="s">
        <v>377</v>
      </c>
      <c r="L13" s="16">
        <v>0</v>
      </c>
      <c r="M13" s="19" t="str">
        <f ca="1">OFFSET(EnumRes!$A$3,COLUMN()-12,0)&amp;"|5|10|100"</f>
        <v>STR|5|10|100</v>
      </c>
      <c r="N13" s="19" t="str">
        <f ca="1">OFFSET(EnumRes!$A$3,COLUMN()-12,0)&amp;"|5|10|100"</f>
        <v>DEX|5|10|100</v>
      </c>
      <c r="O13" s="19" t="str">
        <f ca="1">OFFSET(EnumRes!$A$3,COLUMN()-12,0)&amp;"|5|10|100"</f>
        <v>INT|5|10|100</v>
      </c>
      <c r="P13" s="19" t="str">
        <f ca="1">OFFSET(EnumRes!$A$3,COLUMN()-12,0)&amp;"|5|10|100"</f>
        <v>WILL|5|10|100</v>
      </c>
      <c r="Q13" s="19" t="str">
        <f ca="1">OFFSET(EnumRes!$A$3,COLUMN()-12,0)&amp;"|5|10|100"</f>
        <v>LUCK|5|10|100</v>
      </c>
      <c r="R13" s="19" t="str">
        <f ca="1">OFFSET(EnumRes!$A$3,COLUMN()-12,0)&amp;"|5|10|100"</f>
        <v>HP|5|10|100</v>
      </c>
      <c r="S13" s="19" t="str">
        <f ca="1">OFFSET(EnumRes!$A$3,COLUMN()-12,0)&amp;"|5|10|100"</f>
        <v>MP|5|10|100</v>
      </c>
      <c r="T13" s="19" t="str">
        <f ca="1">OFFSET(EnumRes!$A$3,COLUMN()-12,0)&amp;"|5|10|100"</f>
        <v>MINATK|5|10|100</v>
      </c>
      <c r="U13" s="19" t="str">
        <f ca="1">OFFSET(EnumRes!$A$3,COLUMN()-12,0)&amp;"|5|10|100"</f>
        <v>MAXATK|5|10|100</v>
      </c>
      <c r="V13" s="19" t="str">
        <f ca="1">OFFSET(EnumRes!$A$3,COLUMN()-12,0)&amp;"|5|10|100"</f>
        <v>BAL|5|10|100</v>
      </c>
      <c r="W13" s="19" t="str">
        <f ca="1">OFFSET(EnumRes!$A$3,COLUMN()-12,0)&amp;"|5|10|100"</f>
        <v>CRT|5|10|100</v>
      </c>
      <c r="X13" s="19" t="str">
        <f ca="1">OFFSET(EnumRes!$A$3,COLUMN()-12,0)&amp;"|5|10|100"</f>
        <v>CRT_M|5|10|100</v>
      </c>
      <c r="Y13" s="19" t="str">
        <f ca="1">OFFSET(EnumRes!$A$3,COLUMN()-12,0)&amp;"|5|10|100"</f>
        <v>DEF|5|10|100</v>
      </c>
      <c r="Z13" s="19" t="str">
        <f ca="1">OFFSET(EnumRes!$A$3,COLUMN()-12,0)&amp;"|5|10|100"</f>
        <v>PRT|5|10|100</v>
      </c>
      <c r="AA13" s="19" t="str">
        <f ca="1">OFFSET(EnumRes!$A$3,COLUMN()-12,0)&amp;"|5|10|100"</f>
        <v>PRT_I|5|10|100</v>
      </c>
      <c r="AB13" s="19" t="str">
        <f ca="1">OFFSET(EnumRes!$A$3,COLUMN()-12,0)&amp;"|5|10|100"</f>
        <v>ATK|5|10|100</v>
      </c>
      <c r="AC13" s="19" t="str">
        <f ca="1">OFFSET(EnumRes!$A$3,COLUMN()-12,0)&amp;"|5|10|100"</f>
        <v>MAGATK|5|10|100</v>
      </c>
      <c r="AD13" s="19" t="str">
        <f ca="1">OFFSET(EnumRes!$A$3,COLUMN()-12,0)&amp;"|5|10|100"</f>
        <v>GODCHS|5|10|100</v>
      </c>
      <c r="AE13" s="19" t="str">
        <f ca="1">OFFSET(EnumRes!$A$3,COLUMN()-12,0)&amp;"|5|10|100"</f>
        <v>SKLCHS|5|10|100</v>
      </c>
    </row>
    <row r="14" spans="1:31" x14ac:dyDescent="0.3">
      <c r="A14" s="16">
        <v>1011</v>
      </c>
      <c r="B14" s="17" t="s">
        <v>293</v>
      </c>
      <c r="C14" s="16" t="s">
        <v>284</v>
      </c>
      <c r="D14" s="16" t="s">
        <v>292</v>
      </c>
      <c r="E14" s="18" t="s">
        <v>352</v>
      </c>
      <c r="F14" s="18" t="s">
        <v>362</v>
      </c>
      <c r="G14" s="18">
        <v>1</v>
      </c>
      <c r="H14" s="19" t="s">
        <v>379</v>
      </c>
      <c r="I14" s="19" t="s">
        <v>380</v>
      </c>
      <c r="J14" s="19" t="s">
        <v>377</v>
      </c>
      <c r="K14" s="19" t="s">
        <v>377</v>
      </c>
      <c r="L14" s="16">
        <v>0</v>
      </c>
      <c r="M14" s="19" t="str">
        <f ca="1">OFFSET(EnumRes!$A$3,COLUMN()-12,0)&amp;"|5|10|100"</f>
        <v>STR|5|10|100</v>
      </c>
      <c r="N14" s="19" t="str">
        <f ca="1">OFFSET(EnumRes!$A$3,COLUMN()-12,0)&amp;"|5|10|100"</f>
        <v>DEX|5|10|100</v>
      </c>
      <c r="O14" s="19" t="str">
        <f ca="1">OFFSET(EnumRes!$A$3,COLUMN()-12,0)&amp;"|5|10|100"</f>
        <v>INT|5|10|100</v>
      </c>
      <c r="P14" s="19" t="str">
        <f ca="1">OFFSET(EnumRes!$A$3,COLUMN()-12,0)&amp;"|5|10|100"</f>
        <v>WILL|5|10|100</v>
      </c>
      <c r="Q14" s="19" t="str">
        <f ca="1">OFFSET(EnumRes!$A$3,COLUMN()-12,0)&amp;"|5|10|100"</f>
        <v>LUCK|5|10|100</v>
      </c>
      <c r="R14" s="19" t="str">
        <f ca="1">OFFSET(EnumRes!$A$3,COLUMN()-12,0)&amp;"|5|10|100"</f>
        <v>HP|5|10|100</v>
      </c>
      <c r="S14" s="19" t="str">
        <f ca="1">OFFSET(EnumRes!$A$3,COLUMN()-12,0)&amp;"|5|10|100"</f>
        <v>MP|5|10|100</v>
      </c>
      <c r="T14" s="19" t="str">
        <f ca="1">OFFSET(EnumRes!$A$3,COLUMN()-12,0)&amp;"|5|10|100"</f>
        <v>MINATK|5|10|100</v>
      </c>
      <c r="U14" s="19" t="str">
        <f ca="1">OFFSET(EnumRes!$A$3,COLUMN()-12,0)&amp;"|5|10|100"</f>
        <v>MAXATK|5|10|100</v>
      </c>
      <c r="V14" s="19" t="str">
        <f ca="1">OFFSET(EnumRes!$A$3,COLUMN()-12,0)&amp;"|5|10|100"</f>
        <v>BAL|5|10|100</v>
      </c>
      <c r="W14" s="19" t="str">
        <f ca="1">OFFSET(EnumRes!$A$3,COLUMN()-12,0)&amp;"|5|10|100"</f>
        <v>CRT|5|10|100</v>
      </c>
      <c r="X14" s="19" t="str">
        <f ca="1">OFFSET(EnumRes!$A$3,COLUMN()-12,0)&amp;"|5|10|100"</f>
        <v>CRT_M|5|10|100</v>
      </c>
      <c r="Y14" s="19" t="str">
        <f ca="1">OFFSET(EnumRes!$A$3,COLUMN()-12,0)&amp;"|5|10|100"</f>
        <v>DEF|5|10|100</v>
      </c>
      <c r="Z14" s="19" t="str">
        <f ca="1">OFFSET(EnumRes!$A$3,COLUMN()-12,0)&amp;"|5|10|100"</f>
        <v>PRT|5|10|100</v>
      </c>
      <c r="AA14" s="19" t="str">
        <f ca="1">OFFSET(EnumRes!$A$3,COLUMN()-12,0)&amp;"|5|10|100"</f>
        <v>PRT_I|5|10|100</v>
      </c>
      <c r="AB14" s="19" t="str">
        <f ca="1">OFFSET(EnumRes!$A$3,COLUMN()-12,0)&amp;"|5|10|100"</f>
        <v>ATK|5|10|100</v>
      </c>
      <c r="AC14" s="19" t="str">
        <f ca="1">OFFSET(EnumRes!$A$3,COLUMN()-12,0)&amp;"|5|10|100"</f>
        <v>MAGATK|5|10|100</v>
      </c>
      <c r="AD14" s="19" t="str">
        <f ca="1">OFFSET(EnumRes!$A$3,COLUMN()-12,0)&amp;"|5|10|100"</f>
        <v>GODCHS|5|10|100</v>
      </c>
      <c r="AE14" s="19" t="str">
        <f ca="1">OFFSET(EnumRes!$A$3,COLUMN()-12,0)&amp;"|5|10|100"</f>
        <v>SKLCHS|5|10|100</v>
      </c>
    </row>
    <row r="15" spans="1:31" x14ac:dyDescent="0.3">
      <c r="A15" s="16">
        <v>1012</v>
      </c>
      <c r="B15" s="17" t="s">
        <v>295</v>
      </c>
      <c r="C15" s="16" t="s">
        <v>284</v>
      </c>
      <c r="D15" s="16" t="s">
        <v>294</v>
      </c>
      <c r="E15" s="18" t="s">
        <v>352</v>
      </c>
      <c r="F15" s="18" t="s">
        <v>362</v>
      </c>
      <c r="G15" s="18">
        <v>1</v>
      </c>
      <c r="H15" s="19" t="s">
        <v>379</v>
      </c>
      <c r="I15" s="19" t="s">
        <v>380</v>
      </c>
      <c r="J15" s="19" t="s">
        <v>377</v>
      </c>
      <c r="K15" s="19" t="s">
        <v>377</v>
      </c>
      <c r="L15" s="16">
        <v>0</v>
      </c>
      <c r="M15" s="19" t="str">
        <f ca="1">OFFSET(EnumRes!$A$3,COLUMN()-12,0)&amp;"|5|10|100"</f>
        <v>STR|5|10|100</v>
      </c>
      <c r="N15" s="19" t="str">
        <f ca="1">OFFSET(EnumRes!$A$3,COLUMN()-12,0)&amp;"|5|10|100"</f>
        <v>DEX|5|10|100</v>
      </c>
      <c r="O15" s="19" t="str">
        <f ca="1">OFFSET(EnumRes!$A$3,COLUMN()-12,0)&amp;"|5|10|100"</f>
        <v>INT|5|10|100</v>
      </c>
      <c r="P15" s="19" t="str">
        <f ca="1">OFFSET(EnumRes!$A$3,COLUMN()-12,0)&amp;"|5|10|100"</f>
        <v>WILL|5|10|100</v>
      </c>
      <c r="Q15" s="19" t="str">
        <f ca="1">OFFSET(EnumRes!$A$3,COLUMN()-12,0)&amp;"|5|10|100"</f>
        <v>LUCK|5|10|100</v>
      </c>
      <c r="R15" s="19" t="str">
        <f ca="1">OFFSET(EnumRes!$A$3,COLUMN()-12,0)&amp;"|5|10|100"</f>
        <v>HP|5|10|100</v>
      </c>
      <c r="S15" s="19" t="str">
        <f ca="1">OFFSET(EnumRes!$A$3,COLUMN()-12,0)&amp;"|5|10|100"</f>
        <v>MP|5|10|100</v>
      </c>
      <c r="T15" s="19" t="str">
        <f ca="1">OFFSET(EnumRes!$A$3,COLUMN()-12,0)&amp;"|5|10|100"</f>
        <v>MINATK|5|10|100</v>
      </c>
      <c r="U15" s="19" t="str">
        <f ca="1">OFFSET(EnumRes!$A$3,COLUMN()-12,0)&amp;"|5|10|100"</f>
        <v>MAXATK|5|10|100</v>
      </c>
      <c r="V15" s="19" t="str">
        <f ca="1">OFFSET(EnumRes!$A$3,COLUMN()-12,0)&amp;"|5|10|100"</f>
        <v>BAL|5|10|100</v>
      </c>
      <c r="W15" s="19" t="str">
        <f ca="1">OFFSET(EnumRes!$A$3,COLUMN()-12,0)&amp;"|5|10|100"</f>
        <v>CRT|5|10|100</v>
      </c>
      <c r="X15" s="19" t="str">
        <f ca="1">OFFSET(EnumRes!$A$3,COLUMN()-12,0)&amp;"|5|10|100"</f>
        <v>CRT_M|5|10|100</v>
      </c>
      <c r="Y15" s="19" t="str">
        <f ca="1">OFFSET(EnumRes!$A$3,COLUMN()-12,0)&amp;"|5|10|100"</f>
        <v>DEF|5|10|100</v>
      </c>
      <c r="Z15" s="19" t="str">
        <f ca="1">OFFSET(EnumRes!$A$3,COLUMN()-12,0)&amp;"|5|10|100"</f>
        <v>PRT|5|10|100</v>
      </c>
      <c r="AA15" s="19" t="str">
        <f ca="1">OFFSET(EnumRes!$A$3,COLUMN()-12,0)&amp;"|5|10|100"</f>
        <v>PRT_I|5|10|100</v>
      </c>
      <c r="AB15" s="19" t="str">
        <f ca="1">OFFSET(EnumRes!$A$3,COLUMN()-12,0)&amp;"|5|10|100"</f>
        <v>ATK|5|10|100</v>
      </c>
      <c r="AC15" s="19" t="str">
        <f ca="1">OFFSET(EnumRes!$A$3,COLUMN()-12,0)&amp;"|5|10|100"</f>
        <v>MAGATK|5|10|100</v>
      </c>
      <c r="AD15" s="19" t="str">
        <f ca="1">OFFSET(EnumRes!$A$3,COLUMN()-12,0)&amp;"|5|10|100"</f>
        <v>GODCHS|5|10|100</v>
      </c>
      <c r="AE15" s="19" t="str">
        <f ca="1">OFFSET(EnumRes!$A$3,COLUMN()-12,0)&amp;"|5|10|100"</f>
        <v>SKLCHS|5|10|100</v>
      </c>
    </row>
    <row r="16" spans="1:31" x14ac:dyDescent="0.3">
      <c r="A16" s="16">
        <v>1013</v>
      </c>
      <c r="B16" s="17" t="s">
        <v>297</v>
      </c>
      <c r="C16" s="16" t="s">
        <v>284</v>
      </c>
      <c r="D16" s="16" t="s">
        <v>296</v>
      </c>
      <c r="E16" s="18" t="s">
        <v>352</v>
      </c>
      <c r="F16" s="18" t="s">
        <v>362</v>
      </c>
      <c r="G16" s="18">
        <v>1</v>
      </c>
      <c r="H16" s="19" t="s">
        <v>379</v>
      </c>
      <c r="I16" s="19" t="s">
        <v>380</v>
      </c>
      <c r="J16" s="19" t="s">
        <v>377</v>
      </c>
      <c r="K16" s="19" t="s">
        <v>377</v>
      </c>
      <c r="L16" s="16">
        <v>0</v>
      </c>
      <c r="M16" s="19" t="str">
        <f ca="1">OFFSET(EnumRes!$A$3,COLUMN()-12,0)&amp;"|5|10|100"</f>
        <v>STR|5|10|100</v>
      </c>
      <c r="N16" s="19" t="str">
        <f ca="1">OFFSET(EnumRes!$A$3,COLUMN()-12,0)&amp;"|5|10|100"</f>
        <v>DEX|5|10|100</v>
      </c>
      <c r="O16" s="19" t="str">
        <f ca="1">OFFSET(EnumRes!$A$3,COLUMN()-12,0)&amp;"|5|10|100"</f>
        <v>INT|5|10|100</v>
      </c>
      <c r="P16" s="19" t="str">
        <f ca="1">OFFSET(EnumRes!$A$3,COLUMN()-12,0)&amp;"|5|10|100"</f>
        <v>WILL|5|10|100</v>
      </c>
      <c r="Q16" s="19" t="str">
        <f ca="1">OFFSET(EnumRes!$A$3,COLUMN()-12,0)&amp;"|5|10|100"</f>
        <v>LUCK|5|10|100</v>
      </c>
      <c r="R16" s="19" t="str">
        <f ca="1">OFFSET(EnumRes!$A$3,COLUMN()-12,0)&amp;"|5|10|100"</f>
        <v>HP|5|10|100</v>
      </c>
      <c r="S16" s="19" t="str">
        <f ca="1">OFFSET(EnumRes!$A$3,COLUMN()-12,0)&amp;"|5|10|100"</f>
        <v>MP|5|10|100</v>
      </c>
      <c r="T16" s="19" t="str">
        <f ca="1">OFFSET(EnumRes!$A$3,COLUMN()-12,0)&amp;"|5|10|100"</f>
        <v>MINATK|5|10|100</v>
      </c>
      <c r="U16" s="19" t="str">
        <f ca="1">OFFSET(EnumRes!$A$3,COLUMN()-12,0)&amp;"|5|10|100"</f>
        <v>MAXATK|5|10|100</v>
      </c>
      <c r="V16" s="19" t="str">
        <f ca="1">OFFSET(EnumRes!$A$3,COLUMN()-12,0)&amp;"|5|10|100"</f>
        <v>BAL|5|10|100</v>
      </c>
      <c r="W16" s="19" t="str">
        <f ca="1">OFFSET(EnumRes!$A$3,COLUMN()-12,0)&amp;"|5|10|100"</f>
        <v>CRT|5|10|100</v>
      </c>
      <c r="X16" s="19" t="str">
        <f ca="1">OFFSET(EnumRes!$A$3,COLUMN()-12,0)&amp;"|5|10|100"</f>
        <v>CRT_M|5|10|100</v>
      </c>
      <c r="Y16" s="19" t="str">
        <f ca="1">OFFSET(EnumRes!$A$3,COLUMN()-12,0)&amp;"|5|10|100"</f>
        <v>DEF|5|10|100</v>
      </c>
      <c r="Z16" s="19" t="str">
        <f ca="1">OFFSET(EnumRes!$A$3,COLUMN()-12,0)&amp;"|5|10|100"</f>
        <v>PRT|5|10|100</v>
      </c>
      <c r="AA16" s="19" t="str">
        <f ca="1">OFFSET(EnumRes!$A$3,COLUMN()-12,0)&amp;"|5|10|100"</f>
        <v>PRT_I|5|10|100</v>
      </c>
      <c r="AB16" s="19" t="str">
        <f ca="1">OFFSET(EnumRes!$A$3,COLUMN()-12,0)&amp;"|5|10|100"</f>
        <v>ATK|5|10|100</v>
      </c>
      <c r="AC16" s="19" t="str">
        <f ca="1">OFFSET(EnumRes!$A$3,COLUMN()-12,0)&amp;"|5|10|100"</f>
        <v>MAGATK|5|10|100</v>
      </c>
      <c r="AD16" s="19" t="str">
        <f ca="1">OFFSET(EnumRes!$A$3,COLUMN()-12,0)&amp;"|5|10|100"</f>
        <v>GODCHS|5|10|100</v>
      </c>
      <c r="AE16" s="19" t="str">
        <f ca="1">OFFSET(EnumRes!$A$3,COLUMN()-12,0)&amp;"|5|10|100"</f>
        <v>SKLCHS|5|10|100</v>
      </c>
    </row>
    <row r="17" spans="1:31" x14ac:dyDescent="0.3">
      <c r="A17" s="16">
        <v>1014</v>
      </c>
      <c r="B17" s="17" t="s">
        <v>299</v>
      </c>
      <c r="C17" s="16" t="s">
        <v>284</v>
      </c>
      <c r="D17" s="16" t="s">
        <v>298</v>
      </c>
      <c r="E17" s="18" t="s">
        <v>352</v>
      </c>
      <c r="F17" s="18" t="s">
        <v>362</v>
      </c>
      <c r="G17" s="18">
        <v>1</v>
      </c>
      <c r="H17" s="19" t="s">
        <v>379</v>
      </c>
      <c r="I17" s="19" t="s">
        <v>380</v>
      </c>
      <c r="J17" s="19" t="s">
        <v>377</v>
      </c>
      <c r="K17" s="19" t="s">
        <v>377</v>
      </c>
      <c r="L17" s="16">
        <v>0</v>
      </c>
      <c r="M17" s="19" t="str">
        <f ca="1">OFFSET(EnumRes!$A$3,COLUMN()-12,0)&amp;"|5|10|100"</f>
        <v>STR|5|10|100</v>
      </c>
      <c r="N17" s="19" t="str">
        <f ca="1">OFFSET(EnumRes!$A$3,COLUMN()-12,0)&amp;"|5|10|100"</f>
        <v>DEX|5|10|100</v>
      </c>
      <c r="O17" s="19" t="str">
        <f ca="1">OFFSET(EnumRes!$A$3,COLUMN()-12,0)&amp;"|5|10|100"</f>
        <v>INT|5|10|100</v>
      </c>
      <c r="P17" s="19" t="str">
        <f ca="1">OFFSET(EnumRes!$A$3,COLUMN()-12,0)&amp;"|5|10|100"</f>
        <v>WILL|5|10|100</v>
      </c>
      <c r="Q17" s="19" t="str">
        <f ca="1">OFFSET(EnumRes!$A$3,COLUMN()-12,0)&amp;"|5|10|100"</f>
        <v>LUCK|5|10|100</v>
      </c>
      <c r="R17" s="19" t="str">
        <f ca="1">OFFSET(EnumRes!$A$3,COLUMN()-12,0)&amp;"|5|10|100"</f>
        <v>HP|5|10|100</v>
      </c>
      <c r="S17" s="19" t="str">
        <f ca="1">OFFSET(EnumRes!$A$3,COLUMN()-12,0)&amp;"|5|10|100"</f>
        <v>MP|5|10|100</v>
      </c>
      <c r="T17" s="19" t="str">
        <f ca="1">OFFSET(EnumRes!$A$3,COLUMN()-12,0)&amp;"|5|10|100"</f>
        <v>MINATK|5|10|100</v>
      </c>
      <c r="U17" s="19" t="str">
        <f ca="1">OFFSET(EnumRes!$A$3,COLUMN()-12,0)&amp;"|5|10|100"</f>
        <v>MAXATK|5|10|100</v>
      </c>
      <c r="V17" s="19" t="str">
        <f ca="1">OFFSET(EnumRes!$A$3,COLUMN()-12,0)&amp;"|5|10|100"</f>
        <v>BAL|5|10|100</v>
      </c>
      <c r="W17" s="19" t="str">
        <f ca="1">OFFSET(EnumRes!$A$3,COLUMN()-12,0)&amp;"|5|10|100"</f>
        <v>CRT|5|10|100</v>
      </c>
      <c r="X17" s="19" t="str">
        <f ca="1">OFFSET(EnumRes!$A$3,COLUMN()-12,0)&amp;"|5|10|100"</f>
        <v>CRT_M|5|10|100</v>
      </c>
      <c r="Y17" s="19" t="str">
        <f ca="1">OFFSET(EnumRes!$A$3,COLUMN()-12,0)&amp;"|5|10|100"</f>
        <v>DEF|5|10|100</v>
      </c>
      <c r="Z17" s="19" t="str">
        <f ca="1">OFFSET(EnumRes!$A$3,COLUMN()-12,0)&amp;"|5|10|100"</f>
        <v>PRT|5|10|100</v>
      </c>
      <c r="AA17" s="19" t="str">
        <f ca="1">OFFSET(EnumRes!$A$3,COLUMN()-12,0)&amp;"|5|10|100"</f>
        <v>PRT_I|5|10|100</v>
      </c>
      <c r="AB17" s="19" t="str">
        <f ca="1">OFFSET(EnumRes!$A$3,COLUMN()-12,0)&amp;"|5|10|100"</f>
        <v>ATK|5|10|100</v>
      </c>
      <c r="AC17" s="19" t="str">
        <f ca="1">OFFSET(EnumRes!$A$3,COLUMN()-12,0)&amp;"|5|10|100"</f>
        <v>MAGATK|5|10|100</v>
      </c>
      <c r="AD17" s="19" t="str">
        <f ca="1">OFFSET(EnumRes!$A$3,COLUMN()-12,0)&amp;"|5|10|100"</f>
        <v>GODCHS|5|10|100</v>
      </c>
      <c r="AE17" s="19" t="str">
        <f ca="1">OFFSET(EnumRes!$A$3,COLUMN()-12,0)&amp;"|5|10|100"</f>
        <v>SKLCHS|5|10|100</v>
      </c>
    </row>
    <row r="18" spans="1:31" x14ac:dyDescent="0.3">
      <c r="A18" s="16">
        <v>1015</v>
      </c>
      <c r="B18" s="17" t="s">
        <v>301</v>
      </c>
      <c r="C18" s="16" t="s">
        <v>284</v>
      </c>
      <c r="D18" s="16" t="s">
        <v>300</v>
      </c>
      <c r="E18" s="18" t="s">
        <v>352</v>
      </c>
      <c r="F18" s="18" t="s">
        <v>362</v>
      </c>
      <c r="G18" s="18">
        <v>1</v>
      </c>
      <c r="H18" s="19" t="s">
        <v>379</v>
      </c>
      <c r="I18" s="19" t="s">
        <v>380</v>
      </c>
      <c r="J18" s="19" t="s">
        <v>377</v>
      </c>
      <c r="K18" s="19" t="s">
        <v>377</v>
      </c>
      <c r="L18" s="16">
        <v>0</v>
      </c>
      <c r="M18" s="19" t="str">
        <f ca="1">OFFSET(EnumRes!$A$3,COLUMN()-12,0)&amp;"|5|10|100"</f>
        <v>STR|5|10|100</v>
      </c>
      <c r="N18" s="19" t="str">
        <f ca="1">OFFSET(EnumRes!$A$3,COLUMN()-12,0)&amp;"|5|10|100"</f>
        <v>DEX|5|10|100</v>
      </c>
      <c r="O18" s="19" t="str">
        <f ca="1">OFFSET(EnumRes!$A$3,COLUMN()-12,0)&amp;"|5|10|100"</f>
        <v>INT|5|10|100</v>
      </c>
      <c r="P18" s="19" t="str">
        <f ca="1">OFFSET(EnumRes!$A$3,COLUMN()-12,0)&amp;"|5|10|100"</f>
        <v>WILL|5|10|100</v>
      </c>
      <c r="Q18" s="19" t="str">
        <f ca="1">OFFSET(EnumRes!$A$3,COLUMN()-12,0)&amp;"|5|10|100"</f>
        <v>LUCK|5|10|100</v>
      </c>
      <c r="R18" s="19" t="str">
        <f ca="1">OFFSET(EnumRes!$A$3,COLUMN()-12,0)&amp;"|5|10|100"</f>
        <v>HP|5|10|100</v>
      </c>
      <c r="S18" s="19" t="str">
        <f ca="1">OFFSET(EnumRes!$A$3,COLUMN()-12,0)&amp;"|5|10|100"</f>
        <v>MP|5|10|100</v>
      </c>
      <c r="T18" s="19" t="str">
        <f ca="1">OFFSET(EnumRes!$A$3,COLUMN()-12,0)&amp;"|5|10|100"</f>
        <v>MINATK|5|10|100</v>
      </c>
      <c r="U18" s="19" t="str">
        <f ca="1">OFFSET(EnumRes!$A$3,COLUMN()-12,0)&amp;"|5|10|100"</f>
        <v>MAXATK|5|10|100</v>
      </c>
      <c r="V18" s="19" t="str">
        <f ca="1">OFFSET(EnumRes!$A$3,COLUMN()-12,0)&amp;"|5|10|100"</f>
        <v>BAL|5|10|100</v>
      </c>
      <c r="W18" s="19" t="str">
        <f ca="1">OFFSET(EnumRes!$A$3,COLUMN()-12,0)&amp;"|5|10|100"</f>
        <v>CRT|5|10|100</v>
      </c>
      <c r="X18" s="19" t="str">
        <f ca="1">OFFSET(EnumRes!$A$3,COLUMN()-12,0)&amp;"|5|10|100"</f>
        <v>CRT_M|5|10|100</v>
      </c>
      <c r="Y18" s="19" t="str">
        <f ca="1">OFFSET(EnumRes!$A$3,COLUMN()-12,0)&amp;"|5|10|100"</f>
        <v>DEF|5|10|100</v>
      </c>
      <c r="Z18" s="19" t="str">
        <f ca="1">OFFSET(EnumRes!$A$3,COLUMN()-12,0)&amp;"|5|10|100"</f>
        <v>PRT|5|10|100</v>
      </c>
      <c r="AA18" s="19" t="str">
        <f ca="1">OFFSET(EnumRes!$A$3,COLUMN()-12,0)&amp;"|5|10|100"</f>
        <v>PRT_I|5|10|100</v>
      </c>
      <c r="AB18" s="19" t="str">
        <f ca="1">OFFSET(EnumRes!$A$3,COLUMN()-12,0)&amp;"|5|10|100"</f>
        <v>ATK|5|10|100</v>
      </c>
      <c r="AC18" s="19" t="str">
        <f ca="1">OFFSET(EnumRes!$A$3,COLUMN()-12,0)&amp;"|5|10|100"</f>
        <v>MAGATK|5|10|100</v>
      </c>
      <c r="AD18" s="19" t="str">
        <f ca="1">OFFSET(EnumRes!$A$3,COLUMN()-12,0)&amp;"|5|10|100"</f>
        <v>GODCHS|5|10|100</v>
      </c>
      <c r="AE18" s="19" t="str">
        <f ca="1">OFFSET(EnumRes!$A$3,COLUMN()-12,0)&amp;"|5|10|100"</f>
        <v>SKLCHS|5|10|100</v>
      </c>
    </row>
    <row r="19" spans="1:31" x14ac:dyDescent="0.3">
      <c r="A19" s="16">
        <v>1016</v>
      </c>
      <c r="B19" s="17" t="s">
        <v>302</v>
      </c>
      <c r="C19" s="16" t="s">
        <v>284</v>
      </c>
      <c r="D19" s="16" t="s">
        <v>203</v>
      </c>
      <c r="E19" s="18" t="s">
        <v>352</v>
      </c>
      <c r="F19" s="18" t="s">
        <v>362</v>
      </c>
      <c r="G19" s="18">
        <v>1</v>
      </c>
      <c r="H19" s="19" t="s">
        <v>379</v>
      </c>
      <c r="I19" s="19" t="s">
        <v>380</v>
      </c>
      <c r="J19" s="19" t="s">
        <v>377</v>
      </c>
      <c r="K19" s="19" t="s">
        <v>377</v>
      </c>
      <c r="L19" s="16">
        <v>0</v>
      </c>
      <c r="M19" s="19" t="str">
        <f ca="1">OFFSET(EnumRes!$A$3,COLUMN()-12,0)&amp;"|5|10|100"</f>
        <v>STR|5|10|100</v>
      </c>
      <c r="N19" s="19" t="str">
        <f ca="1">OFFSET(EnumRes!$A$3,COLUMN()-12,0)&amp;"|5|10|100"</f>
        <v>DEX|5|10|100</v>
      </c>
      <c r="O19" s="19" t="str">
        <f ca="1">OFFSET(EnumRes!$A$3,COLUMN()-12,0)&amp;"|5|10|100"</f>
        <v>INT|5|10|100</v>
      </c>
      <c r="P19" s="19" t="str">
        <f ca="1">OFFSET(EnumRes!$A$3,COLUMN()-12,0)&amp;"|5|10|100"</f>
        <v>WILL|5|10|100</v>
      </c>
      <c r="Q19" s="19" t="str">
        <f ca="1">OFFSET(EnumRes!$A$3,COLUMN()-12,0)&amp;"|5|10|100"</f>
        <v>LUCK|5|10|100</v>
      </c>
      <c r="R19" s="19" t="str">
        <f ca="1">OFFSET(EnumRes!$A$3,COLUMN()-12,0)&amp;"|5|10|100"</f>
        <v>HP|5|10|100</v>
      </c>
      <c r="S19" s="19" t="str">
        <f ca="1">OFFSET(EnumRes!$A$3,COLUMN()-12,0)&amp;"|5|10|100"</f>
        <v>MP|5|10|100</v>
      </c>
      <c r="T19" s="19" t="str">
        <f ca="1">OFFSET(EnumRes!$A$3,COLUMN()-12,0)&amp;"|5|10|100"</f>
        <v>MINATK|5|10|100</v>
      </c>
      <c r="U19" s="19" t="str">
        <f ca="1">OFFSET(EnumRes!$A$3,COLUMN()-12,0)&amp;"|5|10|100"</f>
        <v>MAXATK|5|10|100</v>
      </c>
      <c r="V19" s="19" t="str">
        <f ca="1">OFFSET(EnumRes!$A$3,COLUMN()-12,0)&amp;"|5|10|100"</f>
        <v>BAL|5|10|100</v>
      </c>
      <c r="W19" s="19" t="str">
        <f ca="1">OFFSET(EnumRes!$A$3,COLUMN()-12,0)&amp;"|5|10|100"</f>
        <v>CRT|5|10|100</v>
      </c>
      <c r="X19" s="19" t="str">
        <f ca="1">OFFSET(EnumRes!$A$3,COLUMN()-12,0)&amp;"|5|10|100"</f>
        <v>CRT_M|5|10|100</v>
      </c>
      <c r="Y19" s="19" t="str">
        <f ca="1">OFFSET(EnumRes!$A$3,COLUMN()-12,0)&amp;"|5|10|100"</f>
        <v>DEF|5|10|100</v>
      </c>
      <c r="Z19" s="19" t="str">
        <f ca="1">OFFSET(EnumRes!$A$3,COLUMN()-12,0)&amp;"|5|10|100"</f>
        <v>PRT|5|10|100</v>
      </c>
      <c r="AA19" s="19" t="str">
        <f ca="1">OFFSET(EnumRes!$A$3,COLUMN()-12,0)&amp;"|5|10|100"</f>
        <v>PRT_I|5|10|100</v>
      </c>
      <c r="AB19" s="19" t="str">
        <f ca="1">OFFSET(EnumRes!$A$3,COLUMN()-12,0)&amp;"|5|10|100"</f>
        <v>ATK|5|10|100</v>
      </c>
      <c r="AC19" s="19" t="str">
        <f ca="1">OFFSET(EnumRes!$A$3,COLUMN()-12,0)&amp;"|5|10|100"</f>
        <v>MAGATK|5|10|100</v>
      </c>
      <c r="AD19" s="19" t="str">
        <f ca="1">OFFSET(EnumRes!$A$3,COLUMN()-12,0)&amp;"|5|10|100"</f>
        <v>GODCHS|5|10|100</v>
      </c>
      <c r="AE19" s="19" t="str">
        <f ca="1">OFFSET(EnumRes!$A$3,COLUMN()-12,0)&amp;"|5|10|100"</f>
        <v>SKLCHS|5|10|100</v>
      </c>
    </row>
    <row r="20" spans="1:31" x14ac:dyDescent="0.3">
      <c r="A20" s="16">
        <v>1017</v>
      </c>
      <c r="B20" s="17" t="s">
        <v>304</v>
      </c>
      <c r="C20" s="16" t="s">
        <v>284</v>
      </c>
      <c r="D20" s="16" t="s">
        <v>303</v>
      </c>
      <c r="E20" s="18" t="s">
        <v>352</v>
      </c>
      <c r="F20" s="18" t="s">
        <v>362</v>
      </c>
      <c r="G20" s="18">
        <v>1</v>
      </c>
      <c r="H20" s="19" t="s">
        <v>379</v>
      </c>
      <c r="I20" s="19" t="s">
        <v>380</v>
      </c>
      <c r="J20" s="19" t="s">
        <v>377</v>
      </c>
      <c r="K20" s="19" t="s">
        <v>377</v>
      </c>
      <c r="L20" s="16">
        <v>0</v>
      </c>
      <c r="M20" s="19" t="str">
        <f ca="1">OFFSET(EnumRes!$A$3,COLUMN()-12,0)&amp;"|5|10|100"</f>
        <v>STR|5|10|100</v>
      </c>
      <c r="N20" s="19" t="str">
        <f ca="1">OFFSET(EnumRes!$A$3,COLUMN()-12,0)&amp;"|5|10|100"</f>
        <v>DEX|5|10|100</v>
      </c>
      <c r="O20" s="19" t="str">
        <f ca="1">OFFSET(EnumRes!$A$3,COLUMN()-12,0)&amp;"|5|10|100"</f>
        <v>INT|5|10|100</v>
      </c>
      <c r="P20" s="19" t="str">
        <f ca="1">OFFSET(EnumRes!$A$3,COLUMN()-12,0)&amp;"|5|10|100"</f>
        <v>WILL|5|10|100</v>
      </c>
      <c r="Q20" s="19" t="str">
        <f ca="1">OFFSET(EnumRes!$A$3,COLUMN()-12,0)&amp;"|5|10|100"</f>
        <v>LUCK|5|10|100</v>
      </c>
      <c r="R20" s="19" t="str">
        <f ca="1">OFFSET(EnumRes!$A$3,COLUMN()-12,0)&amp;"|5|10|100"</f>
        <v>HP|5|10|100</v>
      </c>
      <c r="S20" s="19" t="str">
        <f ca="1">OFFSET(EnumRes!$A$3,COLUMN()-12,0)&amp;"|5|10|100"</f>
        <v>MP|5|10|100</v>
      </c>
      <c r="T20" s="19" t="str">
        <f ca="1">OFFSET(EnumRes!$A$3,COLUMN()-12,0)&amp;"|5|10|100"</f>
        <v>MINATK|5|10|100</v>
      </c>
      <c r="U20" s="19" t="str">
        <f ca="1">OFFSET(EnumRes!$A$3,COLUMN()-12,0)&amp;"|5|10|100"</f>
        <v>MAXATK|5|10|100</v>
      </c>
      <c r="V20" s="19" t="str">
        <f ca="1">OFFSET(EnumRes!$A$3,COLUMN()-12,0)&amp;"|5|10|100"</f>
        <v>BAL|5|10|100</v>
      </c>
      <c r="W20" s="19" t="str">
        <f ca="1">OFFSET(EnumRes!$A$3,COLUMN()-12,0)&amp;"|5|10|100"</f>
        <v>CRT|5|10|100</v>
      </c>
      <c r="X20" s="19" t="str">
        <f ca="1">OFFSET(EnumRes!$A$3,COLUMN()-12,0)&amp;"|5|10|100"</f>
        <v>CRT_M|5|10|100</v>
      </c>
      <c r="Y20" s="19" t="str">
        <f ca="1">OFFSET(EnumRes!$A$3,COLUMN()-12,0)&amp;"|5|10|100"</f>
        <v>DEF|5|10|100</v>
      </c>
      <c r="Z20" s="19" t="str">
        <f ca="1">OFFSET(EnumRes!$A$3,COLUMN()-12,0)&amp;"|5|10|100"</f>
        <v>PRT|5|10|100</v>
      </c>
      <c r="AA20" s="19" t="str">
        <f ca="1">OFFSET(EnumRes!$A$3,COLUMN()-12,0)&amp;"|5|10|100"</f>
        <v>PRT_I|5|10|100</v>
      </c>
      <c r="AB20" s="19" t="str">
        <f ca="1">OFFSET(EnumRes!$A$3,COLUMN()-12,0)&amp;"|5|10|100"</f>
        <v>ATK|5|10|100</v>
      </c>
      <c r="AC20" s="19" t="str">
        <f ca="1">OFFSET(EnumRes!$A$3,COLUMN()-12,0)&amp;"|5|10|100"</f>
        <v>MAGATK|5|10|100</v>
      </c>
      <c r="AD20" s="19" t="str">
        <f ca="1">OFFSET(EnumRes!$A$3,COLUMN()-12,0)&amp;"|5|10|100"</f>
        <v>GODCHS|5|10|100</v>
      </c>
      <c r="AE20" s="19" t="str">
        <f ca="1">OFFSET(EnumRes!$A$3,COLUMN()-12,0)&amp;"|5|10|100"</f>
        <v>SKLCHS|5|10|100</v>
      </c>
    </row>
    <row r="21" spans="1:31" x14ac:dyDescent="0.3">
      <c r="A21" s="16">
        <v>1018</v>
      </c>
      <c r="B21" s="17" t="s">
        <v>306</v>
      </c>
      <c r="C21" s="16" t="s">
        <v>284</v>
      </c>
      <c r="D21" s="16" t="s">
        <v>305</v>
      </c>
      <c r="E21" s="18" t="s">
        <v>352</v>
      </c>
      <c r="F21" s="18" t="s">
        <v>362</v>
      </c>
      <c r="G21" s="18">
        <v>1</v>
      </c>
      <c r="H21" s="19" t="s">
        <v>379</v>
      </c>
      <c r="I21" s="19" t="s">
        <v>380</v>
      </c>
      <c r="J21" s="19" t="s">
        <v>377</v>
      </c>
      <c r="K21" s="19" t="s">
        <v>377</v>
      </c>
      <c r="L21" s="16">
        <v>0</v>
      </c>
      <c r="M21" s="19" t="str">
        <f ca="1">OFFSET(EnumRes!$A$3,COLUMN()-12,0)&amp;"|5|10|100"</f>
        <v>STR|5|10|100</v>
      </c>
      <c r="N21" s="19" t="str">
        <f ca="1">OFFSET(EnumRes!$A$3,COLUMN()-12,0)&amp;"|5|10|100"</f>
        <v>DEX|5|10|100</v>
      </c>
      <c r="O21" s="19" t="str">
        <f ca="1">OFFSET(EnumRes!$A$3,COLUMN()-12,0)&amp;"|5|10|100"</f>
        <v>INT|5|10|100</v>
      </c>
      <c r="P21" s="19" t="str">
        <f ca="1">OFFSET(EnumRes!$A$3,COLUMN()-12,0)&amp;"|5|10|100"</f>
        <v>WILL|5|10|100</v>
      </c>
      <c r="Q21" s="19" t="str">
        <f ca="1">OFFSET(EnumRes!$A$3,COLUMN()-12,0)&amp;"|5|10|100"</f>
        <v>LUCK|5|10|100</v>
      </c>
      <c r="R21" s="19" t="str">
        <f ca="1">OFFSET(EnumRes!$A$3,COLUMN()-12,0)&amp;"|5|10|100"</f>
        <v>HP|5|10|100</v>
      </c>
      <c r="S21" s="19" t="str">
        <f ca="1">OFFSET(EnumRes!$A$3,COLUMN()-12,0)&amp;"|5|10|100"</f>
        <v>MP|5|10|100</v>
      </c>
      <c r="T21" s="19" t="str">
        <f ca="1">OFFSET(EnumRes!$A$3,COLUMN()-12,0)&amp;"|5|10|100"</f>
        <v>MINATK|5|10|100</v>
      </c>
      <c r="U21" s="19" t="str">
        <f ca="1">OFFSET(EnumRes!$A$3,COLUMN()-12,0)&amp;"|5|10|100"</f>
        <v>MAXATK|5|10|100</v>
      </c>
      <c r="V21" s="19" t="str">
        <f ca="1">OFFSET(EnumRes!$A$3,COLUMN()-12,0)&amp;"|5|10|100"</f>
        <v>BAL|5|10|100</v>
      </c>
      <c r="W21" s="19" t="str">
        <f ca="1">OFFSET(EnumRes!$A$3,COLUMN()-12,0)&amp;"|5|10|100"</f>
        <v>CRT|5|10|100</v>
      </c>
      <c r="X21" s="19" t="str">
        <f ca="1">OFFSET(EnumRes!$A$3,COLUMN()-12,0)&amp;"|5|10|100"</f>
        <v>CRT_M|5|10|100</v>
      </c>
      <c r="Y21" s="19" t="str">
        <f ca="1">OFFSET(EnumRes!$A$3,COLUMN()-12,0)&amp;"|5|10|100"</f>
        <v>DEF|5|10|100</v>
      </c>
      <c r="Z21" s="19" t="str">
        <f ca="1">OFFSET(EnumRes!$A$3,COLUMN()-12,0)&amp;"|5|10|100"</f>
        <v>PRT|5|10|100</v>
      </c>
      <c r="AA21" s="19" t="str">
        <f ca="1">OFFSET(EnumRes!$A$3,COLUMN()-12,0)&amp;"|5|10|100"</f>
        <v>PRT_I|5|10|100</v>
      </c>
      <c r="AB21" s="19" t="str">
        <f ca="1">OFFSET(EnumRes!$A$3,COLUMN()-12,0)&amp;"|5|10|100"</f>
        <v>ATK|5|10|100</v>
      </c>
      <c r="AC21" s="19" t="str">
        <f ca="1">OFFSET(EnumRes!$A$3,COLUMN()-12,0)&amp;"|5|10|100"</f>
        <v>MAGATK|5|10|100</v>
      </c>
      <c r="AD21" s="19" t="str">
        <f ca="1">OFFSET(EnumRes!$A$3,COLUMN()-12,0)&amp;"|5|10|100"</f>
        <v>GODCHS|5|10|100</v>
      </c>
      <c r="AE21" s="19" t="str">
        <f ca="1">OFFSET(EnumRes!$A$3,COLUMN()-12,0)&amp;"|5|10|100"</f>
        <v>SKLCHS|5|10|100</v>
      </c>
    </row>
    <row r="22" spans="1:31" x14ac:dyDescent="0.3">
      <c r="A22" s="16">
        <v>1019</v>
      </c>
      <c r="B22" s="17" t="s">
        <v>218</v>
      </c>
      <c r="C22" s="16" t="s">
        <v>284</v>
      </c>
      <c r="D22" s="16" t="s">
        <v>218</v>
      </c>
      <c r="E22" s="18" t="s">
        <v>352</v>
      </c>
      <c r="F22" s="18" t="s">
        <v>362</v>
      </c>
      <c r="G22" s="18">
        <v>1</v>
      </c>
      <c r="H22" s="19" t="s">
        <v>377</v>
      </c>
      <c r="I22" s="19" t="s">
        <v>377</v>
      </c>
      <c r="J22" s="19" t="s">
        <v>377</v>
      </c>
      <c r="K22" s="19" t="s">
        <v>377</v>
      </c>
      <c r="L22" s="16">
        <v>0</v>
      </c>
      <c r="M22" s="19" t="str">
        <f ca="1">OFFSET(EnumRes!$A$3,COLUMN()-12,0)&amp;"|5|10|100"</f>
        <v>STR|5|10|100</v>
      </c>
      <c r="N22" s="19" t="str">
        <f ca="1">OFFSET(EnumRes!$A$3,COLUMN()-12,0)&amp;"|5|10|100"</f>
        <v>DEX|5|10|100</v>
      </c>
      <c r="O22" s="19" t="str">
        <f ca="1">OFFSET(EnumRes!$A$3,COLUMN()-12,0)&amp;"|5|10|100"</f>
        <v>INT|5|10|100</v>
      </c>
      <c r="P22" s="19" t="str">
        <f ca="1">OFFSET(EnumRes!$A$3,COLUMN()-12,0)&amp;"|5|10|100"</f>
        <v>WILL|5|10|100</v>
      </c>
      <c r="Q22" s="19" t="str">
        <f ca="1">OFFSET(EnumRes!$A$3,COLUMN()-12,0)&amp;"|5|10|100"</f>
        <v>LUCK|5|10|100</v>
      </c>
      <c r="R22" s="19" t="str">
        <f ca="1">OFFSET(EnumRes!$A$3,COLUMN()-12,0)&amp;"|5|10|100"</f>
        <v>HP|5|10|100</v>
      </c>
      <c r="S22" s="19" t="str">
        <f ca="1">OFFSET(EnumRes!$A$3,COLUMN()-12,0)&amp;"|5|10|100"</f>
        <v>MP|5|10|100</v>
      </c>
      <c r="T22" s="19" t="str">
        <f ca="1">OFFSET(EnumRes!$A$3,COLUMN()-12,0)&amp;"|5|10|100"</f>
        <v>MINATK|5|10|100</v>
      </c>
      <c r="U22" s="19" t="str">
        <f ca="1">OFFSET(EnumRes!$A$3,COLUMN()-12,0)&amp;"|5|10|100"</f>
        <v>MAXATK|5|10|100</v>
      </c>
      <c r="V22" s="19" t="str">
        <f ca="1">OFFSET(EnumRes!$A$3,COLUMN()-12,0)&amp;"|5|10|100"</f>
        <v>BAL|5|10|100</v>
      </c>
      <c r="W22" s="19" t="str">
        <f ca="1">OFFSET(EnumRes!$A$3,COLUMN()-12,0)&amp;"|5|10|100"</f>
        <v>CRT|5|10|100</v>
      </c>
      <c r="X22" s="19" t="str">
        <f ca="1">OFFSET(EnumRes!$A$3,COLUMN()-12,0)&amp;"|5|10|100"</f>
        <v>CRT_M|5|10|100</v>
      </c>
      <c r="Y22" s="19" t="str">
        <f ca="1">OFFSET(EnumRes!$A$3,COLUMN()-12,0)&amp;"|5|10|100"</f>
        <v>DEF|5|10|100</v>
      </c>
      <c r="Z22" s="19" t="str">
        <f ca="1">OFFSET(EnumRes!$A$3,COLUMN()-12,0)&amp;"|5|10|100"</f>
        <v>PRT|5|10|100</v>
      </c>
      <c r="AA22" s="19" t="str">
        <f ca="1">OFFSET(EnumRes!$A$3,COLUMN()-12,0)&amp;"|5|10|100"</f>
        <v>PRT_I|5|10|100</v>
      </c>
      <c r="AB22" s="19" t="str">
        <f ca="1">OFFSET(EnumRes!$A$3,COLUMN()-12,0)&amp;"|5|10|100"</f>
        <v>ATK|5|10|100</v>
      </c>
      <c r="AC22" s="19" t="str">
        <f ca="1">OFFSET(EnumRes!$A$3,COLUMN()-12,0)&amp;"|5|10|100"</f>
        <v>MAGATK|5|10|100</v>
      </c>
      <c r="AD22" s="19" t="str">
        <f ca="1">OFFSET(EnumRes!$A$3,COLUMN()-12,0)&amp;"|5|10|100"</f>
        <v>GODCHS|5|10|100</v>
      </c>
      <c r="AE22" s="19" t="str">
        <f ca="1">OFFSET(EnumRes!$A$3,COLUMN()-12,0)&amp;"|5|10|100"</f>
        <v>SKLCHS|5|10|100</v>
      </c>
    </row>
    <row r="23" spans="1:31" x14ac:dyDescent="0.3">
      <c r="A23" s="16">
        <v>1020</v>
      </c>
      <c r="B23" s="17" t="s">
        <v>220</v>
      </c>
      <c r="C23" s="16" t="s">
        <v>284</v>
      </c>
      <c r="D23" s="16" t="s">
        <v>220</v>
      </c>
      <c r="E23" s="18" t="s">
        <v>352</v>
      </c>
      <c r="F23" s="18" t="s">
        <v>362</v>
      </c>
      <c r="G23" s="18">
        <v>1</v>
      </c>
      <c r="H23" s="19" t="s">
        <v>377</v>
      </c>
      <c r="I23" s="19" t="s">
        <v>377</v>
      </c>
      <c r="J23" s="19" t="s">
        <v>377</v>
      </c>
      <c r="K23" s="19" t="s">
        <v>377</v>
      </c>
      <c r="L23" s="16">
        <v>0</v>
      </c>
      <c r="M23" s="19" t="str">
        <f ca="1">OFFSET(EnumRes!$A$3,COLUMN()-12,0)&amp;"|5|10|100"</f>
        <v>STR|5|10|100</v>
      </c>
      <c r="N23" s="19" t="str">
        <f ca="1">OFFSET(EnumRes!$A$3,COLUMN()-12,0)&amp;"|5|10|100"</f>
        <v>DEX|5|10|100</v>
      </c>
      <c r="O23" s="19" t="str">
        <f ca="1">OFFSET(EnumRes!$A$3,COLUMN()-12,0)&amp;"|5|10|100"</f>
        <v>INT|5|10|100</v>
      </c>
      <c r="P23" s="19" t="str">
        <f ca="1">OFFSET(EnumRes!$A$3,COLUMN()-12,0)&amp;"|5|10|100"</f>
        <v>WILL|5|10|100</v>
      </c>
      <c r="Q23" s="19" t="str">
        <f ca="1">OFFSET(EnumRes!$A$3,COLUMN()-12,0)&amp;"|5|10|100"</f>
        <v>LUCK|5|10|100</v>
      </c>
      <c r="R23" s="19" t="str">
        <f ca="1">OFFSET(EnumRes!$A$3,COLUMN()-12,0)&amp;"|5|10|100"</f>
        <v>HP|5|10|100</v>
      </c>
      <c r="S23" s="19" t="str">
        <f ca="1">OFFSET(EnumRes!$A$3,COLUMN()-12,0)&amp;"|5|10|100"</f>
        <v>MP|5|10|100</v>
      </c>
      <c r="T23" s="19" t="str">
        <f ca="1">OFFSET(EnumRes!$A$3,COLUMN()-12,0)&amp;"|5|10|100"</f>
        <v>MINATK|5|10|100</v>
      </c>
      <c r="U23" s="19" t="str">
        <f ca="1">OFFSET(EnumRes!$A$3,COLUMN()-12,0)&amp;"|5|10|100"</f>
        <v>MAXATK|5|10|100</v>
      </c>
      <c r="V23" s="19" t="str">
        <f ca="1">OFFSET(EnumRes!$A$3,COLUMN()-12,0)&amp;"|5|10|100"</f>
        <v>BAL|5|10|100</v>
      </c>
      <c r="W23" s="19" t="str">
        <f ca="1">OFFSET(EnumRes!$A$3,COLUMN()-12,0)&amp;"|5|10|100"</f>
        <v>CRT|5|10|100</v>
      </c>
      <c r="X23" s="19" t="str">
        <f ca="1">OFFSET(EnumRes!$A$3,COLUMN()-12,0)&amp;"|5|10|100"</f>
        <v>CRT_M|5|10|100</v>
      </c>
      <c r="Y23" s="19" t="str">
        <f ca="1">OFFSET(EnumRes!$A$3,COLUMN()-12,0)&amp;"|5|10|100"</f>
        <v>DEF|5|10|100</v>
      </c>
      <c r="Z23" s="19" t="str">
        <f ca="1">OFFSET(EnumRes!$A$3,COLUMN()-12,0)&amp;"|5|10|100"</f>
        <v>PRT|5|10|100</v>
      </c>
      <c r="AA23" s="19" t="str">
        <f ca="1">OFFSET(EnumRes!$A$3,COLUMN()-12,0)&amp;"|5|10|100"</f>
        <v>PRT_I|5|10|100</v>
      </c>
      <c r="AB23" s="19" t="str">
        <f ca="1">OFFSET(EnumRes!$A$3,COLUMN()-12,0)&amp;"|5|10|100"</f>
        <v>ATK|5|10|100</v>
      </c>
      <c r="AC23" s="19" t="str">
        <f ca="1">OFFSET(EnumRes!$A$3,COLUMN()-12,0)&amp;"|5|10|100"</f>
        <v>MAGATK|5|10|100</v>
      </c>
      <c r="AD23" s="19" t="str">
        <f ca="1">OFFSET(EnumRes!$A$3,COLUMN()-12,0)&amp;"|5|10|100"</f>
        <v>GODCHS|5|10|100</v>
      </c>
      <c r="AE23" s="19" t="str">
        <f ca="1">OFFSET(EnumRes!$A$3,COLUMN()-12,0)&amp;"|5|10|100"</f>
        <v>SKLCHS|5|10|100</v>
      </c>
    </row>
    <row r="24" spans="1:31" x14ac:dyDescent="0.3">
      <c r="A24" s="16">
        <v>1021</v>
      </c>
      <c r="B24" s="17" t="s">
        <v>224</v>
      </c>
      <c r="C24" s="16" t="s">
        <v>284</v>
      </c>
      <c r="D24" s="16" t="s">
        <v>224</v>
      </c>
      <c r="E24" s="18" t="s">
        <v>359</v>
      </c>
      <c r="F24" s="18" t="s">
        <v>363</v>
      </c>
      <c r="G24" s="18">
        <v>1</v>
      </c>
      <c r="H24" s="19" t="s">
        <v>381</v>
      </c>
      <c r="I24" s="19" t="s">
        <v>387</v>
      </c>
      <c r="J24" s="19" t="s">
        <v>382</v>
      </c>
      <c r="K24" s="19" t="s">
        <v>383</v>
      </c>
      <c r="L24" s="16">
        <v>1</v>
      </c>
      <c r="M24" s="19" t="str">
        <f ca="1">OFFSET(EnumRes!$A$3,COLUMN()-12,0)&amp;"|5|10|100"</f>
        <v>STR|5|10|100</v>
      </c>
      <c r="N24" s="19" t="str">
        <f ca="1">OFFSET(EnumRes!$A$3,COLUMN()-12,0)&amp;"|5|10|100"</f>
        <v>DEX|5|10|100</v>
      </c>
      <c r="O24" s="19" t="str">
        <f ca="1">OFFSET(EnumRes!$A$3,COLUMN()-12,0)&amp;"|5|10|100"</f>
        <v>INT|5|10|100</v>
      </c>
      <c r="P24" s="19" t="str">
        <f ca="1">OFFSET(EnumRes!$A$3,COLUMN()-12,0)&amp;"|5|10|100"</f>
        <v>WILL|5|10|100</v>
      </c>
      <c r="Q24" s="19" t="str">
        <f ca="1">OFFSET(EnumRes!$A$3,COLUMN()-12,0)&amp;"|5|10|100"</f>
        <v>LUCK|5|10|100</v>
      </c>
      <c r="R24" s="19" t="str">
        <f ca="1">OFFSET(EnumRes!$A$3,COLUMN()-12,0)&amp;"|5|10|100"</f>
        <v>HP|5|10|100</v>
      </c>
      <c r="S24" s="19" t="str">
        <f ca="1">OFFSET(EnumRes!$A$3,COLUMN()-12,0)&amp;"|5|10|100"</f>
        <v>MP|5|10|100</v>
      </c>
      <c r="T24" s="19" t="str">
        <f ca="1">OFFSET(EnumRes!$A$3,COLUMN()-12,0)&amp;"|5|10|100"</f>
        <v>MINATK|5|10|100</v>
      </c>
      <c r="U24" s="19" t="str">
        <f ca="1">OFFSET(EnumRes!$A$3,COLUMN()-12,0)&amp;"|5|10|100"</f>
        <v>MAXATK|5|10|100</v>
      </c>
      <c r="V24" s="19" t="str">
        <f ca="1">OFFSET(EnumRes!$A$3,COLUMN()-12,0)&amp;"|5|10|100"</f>
        <v>BAL|5|10|100</v>
      </c>
      <c r="W24" s="19" t="str">
        <f ca="1">OFFSET(EnumRes!$A$3,COLUMN()-12,0)&amp;"|5|10|100"</f>
        <v>CRT|5|10|100</v>
      </c>
      <c r="X24" s="19" t="str">
        <f ca="1">OFFSET(EnumRes!$A$3,COLUMN()-12,0)&amp;"|5|10|100"</f>
        <v>CRT_M|5|10|100</v>
      </c>
      <c r="Y24" s="19" t="str">
        <f ca="1">OFFSET(EnumRes!$A$3,COLUMN()-12,0)&amp;"|5|10|100"</f>
        <v>DEF|5|10|100</v>
      </c>
      <c r="Z24" s="19" t="str">
        <f ca="1">OFFSET(EnumRes!$A$3,COLUMN()-12,0)&amp;"|5|10|100"</f>
        <v>PRT|5|10|100</v>
      </c>
      <c r="AA24" s="19" t="str">
        <f ca="1">OFFSET(EnumRes!$A$3,COLUMN()-12,0)&amp;"|5|10|100"</f>
        <v>PRT_I|5|10|100</v>
      </c>
      <c r="AB24" s="19" t="str">
        <f ca="1">OFFSET(EnumRes!$A$3,COLUMN()-12,0)&amp;"|5|10|100"</f>
        <v>ATK|5|10|100</v>
      </c>
      <c r="AC24" s="19" t="str">
        <f ca="1">OFFSET(EnumRes!$A$3,COLUMN()-12,0)&amp;"|5|10|100"</f>
        <v>MAGATK|5|10|100</v>
      </c>
      <c r="AD24" s="19" t="str">
        <f ca="1">OFFSET(EnumRes!$A$3,COLUMN()-12,0)&amp;"|5|10|100"</f>
        <v>GODCHS|5|10|100</v>
      </c>
      <c r="AE24" s="19" t="str">
        <f ca="1">OFFSET(EnumRes!$A$3,COLUMN()-12,0)&amp;"|5|10|100"</f>
        <v>SKLCHS|5|10|100</v>
      </c>
    </row>
    <row r="25" spans="1:31" x14ac:dyDescent="0.3">
      <c r="A25" s="16">
        <v>1022</v>
      </c>
      <c r="B25" s="17" t="s">
        <v>225</v>
      </c>
      <c r="C25" s="16" t="s">
        <v>284</v>
      </c>
      <c r="D25" s="16" t="s">
        <v>225</v>
      </c>
      <c r="E25" s="18" t="s">
        <v>360</v>
      </c>
      <c r="F25" s="18" t="s">
        <v>363</v>
      </c>
      <c r="G25" s="18">
        <v>1</v>
      </c>
      <c r="H25" s="19" t="s">
        <v>381</v>
      </c>
      <c r="I25" s="19" t="s">
        <v>387</v>
      </c>
      <c r="J25" s="19" t="s">
        <v>382</v>
      </c>
      <c r="K25" s="19" t="s">
        <v>383</v>
      </c>
      <c r="L25" s="16">
        <v>1</v>
      </c>
      <c r="M25" s="19" t="str">
        <f ca="1">OFFSET(EnumRes!$A$3,COLUMN()-12,0)&amp;"|5|10|100"</f>
        <v>STR|5|10|100</v>
      </c>
      <c r="N25" s="19" t="str">
        <f ca="1">OFFSET(EnumRes!$A$3,COLUMN()-12,0)&amp;"|5|10|100"</f>
        <v>DEX|5|10|100</v>
      </c>
      <c r="O25" s="19" t="str">
        <f ca="1">OFFSET(EnumRes!$A$3,COLUMN()-12,0)&amp;"|5|10|100"</f>
        <v>INT|5|10|100</v>
      </c>
      <c r="P25" s="19" t="str">
        <f ca="1">OFFSET(EnumRes!$A$3,COLUMN()-12,0)&amp;"|5|10|100"</f>
        <v>WILL|5|10|100</v>
      </c>
      <c r="Q25" s="19" t="str">
        <f ca="1">OFFSET(EnumRes!$A$3,COLUMN()-12,0)&amp;"|5|10|100"</f>
        <v>LUCK|5|10|100</v>
      </c>
      <c r="R25" s="19" t="str">
        <f ca="1">OFFSET(EnumRes!$A$3,COLUMN()-12,0)&amp;"|5|10|100"</f>
        <v>HP|5|10|100</v>
      </c>
      <c r="S25" s="19" t="str">
        <f ca="1">OFFSET(EnumRes!$A$3,COLUMN()-12,0)&amp;"|5|10|100"</f>
        <v>MP|5|10|100</v>
      </c>
      <c r="T25" s="19" t="str">
        <f ca="1">OFFSET(EnumRes!$A$3,COLUMN()-12,0)&amp;"|5|10|100"</f>
        <v>MINATK|5|10|100</v>
      </c>
      <c r="U25" s="19" t="str">
        <f ca="1">OFFSET(EnumRes!$A$3,COLUMN()-12,0)&amp;"|5|10|100"</f>
        <v>MAXATK|5|10|100</v>
      </c>
      <c r="V25" s="19" t="str">
        <f ca="1">OFFSET(EnumRes!$A$3,COLUMN()-12,0)&amp;"|5|10|100"</f>
        <v>BAL|5|10|100</v>
      </c>
      <c r="W25" s="19" t="str">
        <f ca="1">OFFSET(EnumRes!$A$3,COLUMN()-12,0)&amp;"|5|10|100"</f>
        <v>CRT|5|10|100</v>
      </c>
      <c r="X25" s="19" t="str">
        <f ca="1">OFFSET(EnumRes!$A$3,COLUMN()-12,0)&amp;"|5|10|100"</f>
        <v>CRT_M|5|10|100</v>
      </c>
      <c r="Y25" s="19" t="str">
        <f ca="1">OFFSET(EnumRes!$A$3,COLUMN()-12,0)&amp;"|5|10|100"</f>
        <v>DEF|5|10|100</v>
      </c>
      <c r="Z25" s="19" t="str">
        <f ca="1">OFFSET(EnumRes!$A$3,COLUMN()-12,0)&amp;"|5|10|100"</f>
        <v>PRT|5|10|100</v>
      </c>
      <c r="AA25" s="19" t="str">
        <f ca="1">OFFSET(EnumRes!$A$3,COLUMN()-12,0)&amp;"|5|10|100"</f>
        <v>PRT_I|5|10|100</v>
      </c>
      <c r="AB25" s="19" t="str">
        <f ca="1">OFFSET(EnumRes!$A$3,COLUMN()-12,0)&amp;"|5|10|100"</f>
        <v>ATK|5|10|100</v>
      </c>
      <c r="AC25" s="19" t="str">
        <f ca="1">OFFSET(EnumRes!$A$3,COLUMN()-12,0)&amp;"|5|10|100"</f>
        <v>MAGATK|5|10|100</v>
      </c>
      <c r="AD25" s="19" t="str">
        <f ca="1">OFFSET(EnumRes!$A$3,COLUMN()-12,0)&amp;"|5|10|100"</f>
        <v>GODCHS|5|10|100</v>
      </c>
      <c r="AE25" s="19" t="str">
        <f ca="1">OFFSET(EnumRes!$A$3,COLUMN()-12,0)&amp;"|5|10|100"</f>
        <v>SKLCHS|5|10|100</v>
      </c>
    </row>
    <row r="26" spans="1:31" x14ac:dyDescent="0.3">
      <c r="A26" s="16">
        <v>1023</v>
      </c>
      <c r="B26" s="17" t="s">
        <v>227</v>
      </c>
      <c r="C26" s="16" t="s">
        <v>284</v>
      </c>
      <c r="D26" s="16" t="s">
        <v>227</v>
      </c>
      <c r="E26" s="18" t="s">
        <v>361</v>
      </c>
      <c r="F26" s="18" t="s">
        <v>363</v>
      </c>
      <c r="G26" s="18">
        <v>1</v>
      </c>
      <c r="H26" s="19" t="s">
        <v>381</v>
      </c>
      <c r="I26" s="19" t="s">
        <v>387</v>
      </c>
      <c r="J26" s="19" t="s">
        <v>382</v>
      </c>
      <c r="K26" s="19" t="s">
        <v>383</v>
      </c>
      <c r="L26" s="16">
        <v>1</v>
      </c>
      <c r="M26" s="19" t="str">
        <f ca="1">OFFSET(EnumRes!$A$3,COLUMN()-12,0)&amp;"|5|10|100"</f>
        <v>STR|5|10|100</v>
      </c>
      <c r="N26" s="19" t="str">
        <f ca="1">OFFSET(EnumRes!$A$3,COLUMN()-12,0)&amp;"|5|10|100"</f>
        <v>DEX|5|10|100</v>
      </c>
      <c r="O26" s="19" t="str">
        <f ca="1">OFFSET(EnumRes!$A$3,COLUMN()-12,0)&amp;"|5|10|100"</f>
        <v>INT|5|10|100</v>
      </c>
      <c r="P26" s="19" t="str">
        <f ca="1">OFFSET(EnumRes!$A$3,COLUMN()-12,0)&amp;"|5|10|100"</f>
        <v>WILL|5|10|100</v>
      </c>
      <c r="Q26" s="19" t="str">
        <f ca="1">OFFSET(EnumRes!$A$3,COLUMN()-12,0)&amp;"|5|10|100"</f>
        <v>LUCK|5|10|100</v>
      </c>
      <c r="R26" s="19" t="str">
        <f ca="1">OFFSET(EnumRes!$A$3,COLUMN()-12,0)&amp;"|5|10|100"</f>
        <v>HP|5|10|100</v>
      </c>
      <c r="S26" s="19" t="str">
        <f ca="1">OFFSET(EnumRes!$A$3,COLUMN()-12,0)&amp;"|5|10|100"</f>
        <v>MP|5|10|100</v>
      </c>
      <c r="T26" s="19" t="str">
        <f ca="1">OFFSET(EnumRes!$A$3,COLUMN()-12,0)&amp;"|5|10|100"</f>
        <v>MINATK|5|10|100</v>
      </c>
      <c r="U26" s="19" t="str">
        <f ca="1">OFFSET(EnumRes!$A$3,COLUMN()-12,0)&amp;"|5|10|100"</f>
        <v>MAXATK|5|10|100</v>
      </c>
      <c r="V26" s="19" t="str">
        <f ca="1">OFFSET(EnumRes!$A$3,COLUMN()-12,0)&amp;"|5|10|100"</f>
        <v>BAL|5|10|100</v>
      </c>
      <c r="W26" s="19" t="str">
        <f ca="1">OFFSET(EnumRes!$A$3,COLUMN()-12,0)&amp;"|5|10|100"</f>
        <v>CRT|5|10|100</v>
      </c>
      <c r="X26" s="19" t="str">
        <f ca="1">OFFSET(EnumRes!$A$3,COLUMN()-12,0)&amp;"|5|10|100"</f>
        <v>CRT_M|5|10|100</v>
      </c>
      <c r="Y26" s="19" t="str">
        <f ca="1">OFFSET(EnumRes!$A$3,COLUMN()-12,0)&amp;"|5|10|100"</f>
        <v>DEF|5|10|100</v>
      </c>
      <c r="Z26" s="19" t="str">
        <f ca="1">OFFSET(EnumRes!$A$3,COLUMN()-12,0)&amp;"|5|10|100"</f>
        <v>PRT|5|10|100</v>
      </c>
      <c r="AA26" s="19" t="str">
        <f ca="1">OFFSET(EnumRes!$A$3,COLUMN()-12,0)&amp;"|5|10|100"</f>
        <v>PRT_I|5|10|100</v>
      </c>
      <c r="AB26" s="19" t="str">
        <f ca="1">OFFSET(EnumRes!$A$3,COLUMN()-12,0)&amp;"|5|10|100"</f>
        <v>ATK|5|10|100</v>
      </c>
      <c r="AC26" s="19" t="str">
        <f ca="1">OFFSET(EnumRes!$A$3,COLUMN()-12,0)&amp;"|5|10|100"</f>
        <v>MAGATK|5|10|100</v>
      </c>
      <c r="AD26" s="19" t="str">
        <f ca="1">OFFSET(EnumRes!$A$3,COLUMN()-12,0)&amp;"|5|10|100"</f>
        <v>GODCHS|5|10|100</v>
      </c>
      <c r="AE26" s="19" t="str">
        <f ca="1">OFFSET(EnumRes!$A$3,COLUMN()-12,0)&amp;"|5|10|100"</f>
        <v>SKLCHS|5|10|100</v>
      </c>
    </row>
    <row r="27" spans="1:31" x14ac:dyDescent="0.3">
      <c r="A27" s="16">
        <v>1024</v>
      </c>
      <c r="B27" s="17" t="s">
        <v>229</v>
      </c>
      <c r="C27" s="16" t="s">
        <v>284</v>
      </c>
      <c r="D27" s="16" t="s">
        <v>229</v>
      </c>
      <c r="E27" s="18" t="s">
        <v>361</v>
      </c>
      <c r="F27" s="18" t="s">
        <v>363</v>
      </c>
      <c r="G27" s="18">
        <v>1</v>
      </c>
      <c r="H27" s="19" t="s">
        <v>381</v>
      </c>
      <c r="I27" s="19" t="s">
        <v>387</v>
      </c>
      <c r="J27" s="19" t="s">
        <v>382</v>
      </c>
      <c r="K27" s="19" t="s">
        <v>383</v>
      </c>
      <c r="L27" s="16">
        <v>1</v>
      </c>
      <c r="M27" s="19" t="str">
        <f ca="1">OFFSET(EnumRes!$A$3,COLUMN()-12,0)&amp;"|5|10|100"</f>
        <v>STR|5|10|100</v>
      </c>
      <c r="N27" s="19" t="str">
        <f ca="1">OFFSET(EnumRes!$A$3,COLUMN()-12,0)&amp;"|5|10|100"</f>
        <v>DEX|5|10|100</v>
      </c>
      <c r="O27" s="19" t="str">
        <f ca="1">OFFSET(EnumRes!$A$3,COLUMN()-12,0)&amp;"|5|10|100"</f>
        <v>INT|5|10|100</v>
      </c>
      <c r="P27" s="19" t="str">
        <f ca="1">OFFSET(EnumRes!$A$3,COLUMN()-12,0)&amp;"|5|10|100"</f>
        <v>WILL|5|10|100</v>
      </c>
      <c r="Q27" s="19" t="str">
        <f ca="1">OFFSET(EnumRes!$A$3,COLUMN()-12,0)&amp;"|5|10|100"</f>
        <v>LUCK|5|10|100</v>
      </c>
      <c r="R27" s="19" t="str">
        <f ca="1">OFFSET(EnumRes!$A$3,COLUMN()-12,0)&amp;"|5|10|100"</f>
        <v>HP|5|10|100</v>
      </c>
      <c r="S27" s="19" t="str">
        <f ca="1">OFFSET(EnumRes!$A$3,COLUMN()-12,0)&amp;"|5|10|100"</f>
        <v>MP|5|10|100</v>
      </c>
      <c r="T27" s="19" t="str">
        <f ca="1">OFFSET(EnumRes!$A$3,COLUMN()-12,0)&amp;"|5|10|100"</f>
        <v>MINATK|5|10|100</v>
      </c>
      <c r="U27" s="19" t="str">
        <f ca="1">OFFSET(EnumRes!$A$3,COLUMN()-12,0)&amp;"|5|10|100"</f>
        <v>MAXATK|5|10|100</v>
      </c>
      <c r="V27" s="19" t="str">
        <f ca="1">OFFSET(EnumRes!$A$3,COLUMN()-12,0)&amp;"|5|10|100"</f>
        <v>BAL|5|10|100</v>
      </c>
      <c r="W27" s="19" t="str">
        <f ca="1">OFFSET(EnumRes!$A$3,COLUMN()-12,0)&amp;"|5|10|100"</f>
        <v>CRT|5|10|100</v>
      </c>
      <c r="X27" s="19" t="str">
        <f ca="1">OFFSET(EnumRes!$A$3,COLUMN()-12,0)&amp;"|5|10|100"</f>
        <v>CRT_M|5|10|100</v>
      </c>
      <c r="Y27" s="19" t="str">
        <f ca="1">OFFSET(EnumRes!$A$3,COLUMN()-12,0)&amp;"|5|10|100"</f>
        <v>DEF|5|10|100</v>
      </c>
      <c r="Z27" s="19" t="str">
        <f ca="1">OFFSET(EnumRes!$A$3,COLUMN()-12,0)&amp;"|5|10|100"</f>
        <v>PRT|5|10|100</v>
      </c>
      <c r="AA27" s="19" t="str">
        <f ca="1">OFFSET(EnumRes!$A$3,COLUMN()-12,0)&amp;"|5|10|100"</f>
        <v>PRT_I|5|10|100</v>
      </c>
      <c r="AB27" s="19" t="str">
        <f ca="1">OFFSET(EnumRes!$A$3,COLUMN()-12,0)&amp;"|5|10|100"</f>
        <v>ATK|5|10|100</v>
      </c>
      <c r="AC27" s="19" t="str">
        <f ca="1">OFFSET(EnumRes!$A$3,COLUMN()-12,0)&amp;"|5|10|100"</f>
        <v>MAGATK|5|10|100</v>
      </c>
      <c r="AD27" s="19" t="str">
        <f ca="1">OFFSET(EnumRes!$A$3,COLUMN()-12,0)&amp;"|5|10|100"</f>
        <v>GODCHS|5|10|100</v>
      </c>
      <c r="AE27" s="19" t="str">
        <f ca="1">OFFSET(EnumRes!$A$3,COLUMN()-12,0)&amp;"|5|10|100"</f>
        <v>SKLCHS|5|10|100</v>
      </c>
    </row>
    <row r="28" spans="1:31" x14ac:dyDescent="0.3">
      <c r="A28" s="16">
        <v>1025</v>
      </c>
      <c r="B28" s="17" t="s">
        <v>231</v>
      </c>
      <c r="C28" s="16" t="s">
        <v>284</v>
      </c>
      <c r="D28" s="16" t="s">
        <v>231</v>
      </c>
      <c r="E28" s="18" t="s">
        <v>359</v>
      </c>
      <c r="F28" s="18" t="s">
        <v>363</v>
      </c>
      <c r="G28" s="18">
        <v>1</v>
      </c>
      <c r="H28" s="19" t="s">
        <v>381</v>
      </c>
      <c r="I28" s="19" t="s">
        <v>387</v>
      </c>
      <c r="J28" s="19" t="s">
        <v>382</v>
      </c>
      <c r="K28" s="19" t="s">
        <v>383</v>
      </c>
      <c r="L28" s="16">
        <v>1</v>
      </c>
      <c r="M28" s="19" t="str">
        <f ca="1">OFFSET(EnumRes!$A$3,COLUMN()-12,0)&amp;"|5|10|100"</f>
        <v>STR|5|10|100</v>
      </c>
      <c r="N28" s="19" t="str">
        <f ca="1">OFFSET(EnumRes!$A$3,COLUMN()-12,0)&amp;"|5|10|100"</f>
        <v>DEX|5|10|100</v>
      </c>
      <c r="O28" s="19" t="str">
        <f ca="1">OFFSET(EnumRes!$A$3,COLUMN()-12,0)&amp;"|5|10|100"</f>
        <v>INT|5|10|100</v>
      </c>
      <c r="P28" s="19" t="str">
        <f ca="1">OFFSET(EnumRes!$A$3,COLUMN()-12,0)&amp;"|5|10|100"</f>
        <v>WILL|5|10|100</v>
      </c>
      <c r="Q28" s="19" t="str">
        <f ca="1">OFFSET(EnumRes!$A$3,COLUMN()-12,0)&amp;"|5|10|100"</f>
        <v>LUCK|5|10|100</v>
      </c>
      <c r="R28" s="19" t="str">
        <f ca="1">OFFSET(EnumRes!$A$3,COLUMN()-12,0)&amp;"|5|10|100"</f>
        <v>HP|5|10|100</v>
      </c>
      <c r="S28" s="19" t="str">
        <f ca="1">OFFSET(EnumRes!$A$3,COLUMN()-12,0)&amp;"|5|10|100"</f>
        <v>MP|5|10|100</v>
      </c>
      <c r="T28" s="19" t="str">
        <f ca="1">OFFSET(EnumRes!$A$3,COLUMN()-12,0)&amp;"|5|10|100"</f>
        <v>MINATK|5|10|100</v>
      </c>
      <c r="U28" s="19" t="str">
        <f ca="1">OFFSET(EnumRes!$A$3,COLUMN()-12,0)&amp;"|5|10|100"</f>
        <v>MAXATK|5|10|100</v>
      </c>
      <c r="V28" s="19" t="str">
        <f ca="1">OFFSET(EnumRes!$A$3,COLUMN()-12,0)&amp;"|5|10|100"</f>
        <v>BAL|5|10|100</v>
      </c>
      <c r="W28" s="19" t="str">
        <f ca="1">OFFSET(EnumRes!$A$3,COLUMN()-12,0)&amp;"|5|10|100"</f>
        <v>CRT|5|10|100</v>
      </c>
      <c r="X28" s="19" t="str">
        <f ca="1">OFFSET(EnumRes!$A$3,COLUMN()-12,0)&amp;"|5|10|100"</f>
        <v>CRT_M|5|10|100</v>
      </c>
      <c r="Y28" s="19" t="str">
        <f ca="1">OFFSET(EnumRes!$A$3,COLUMN()-12,0)&amp;"|5|10|100"</f>
        <v>DEF|5|10|100</v>
      </c>
      <c r="Z28" s="19" t="str">
        <f ca="1">OFFSET(EnumRes!$A$3,COLUMN()-12,0)&amp;"|5|10|100"</f>
        <v>PRT|5|10|100</v>
      </c>
      <c r="AA28" s="19" t="str">
        <f ca="1">OFFSET(EnumRes!$A$3,COLUMN()-12,0)&amp;"|5|10|100"</f>
        <v>PRT_I|5|10|100</v>
      </c>
      <c r="AB28" s="19" t="str">
        <f ca="1">OFFSET(EnumRes!$A$3,COLUMN()-12,0)&amp;"|5|10|100"</f>
        <v>ATK|5|10|100</v>
      </c>
      <c r="AC28" s="19" t="str">
        <f ca="1">OFFSET(EnumRes!$A$3,COLUMN()-12,0)&amp;"|5|10|100"</f>
        <v>MAGATK|5|10|100</v>
      </c>
      <c r="AD28" s="19" t="str">
        <f ca="1">OFFSET(EnumRes!$A$3,COLUMN()-12,0)&amp;"|5|10|100"</f>
        <v>GODCHS|5|10|100</v>
      </c>
      <c r="AE28" s="19" t="str">
        <f ca="1">OFFSET(EnumRes!$A$3,COLUMN()-12,0)&amp;"|5|10|100"</f>
        <v>SKLCHS|5|10|100</v>
      </c>
    </row>
    <row r="29" spans="1:31" x14ac:dyDescent="0.3">
      <c r="A29" s="16">
        <v>1026</v>
      </c>
      <c r="B29" s="17" t="s">
        <v>233</v>
      </c>
      <c r="C29" s="16" t="s">
        <v>284</v>
      </c>
      <c r="D29" s="16" t="s">
        <v>233</v>
      </c>
      <c r="E29" s="18" t="s">
        <v>360</v>
      </c>
      <c r="F29" s="18" t="s">
        <v>363</v>
      </c>
      <c r="G29" s="18">
        <v>1</v>
      </c>
      <c r="H29" s="19" t="s">
        <v>381</v>
      </c>
      <c r="I29" s="19" t="s">
        <v>387</v>
      </c>
      <c r="J29" s="19" t="s">
        <v>382</v>
      </c>
      <c r="K29" s="19" t="s">
        <v>383</v>
      </c>
      <c r="L29" s="16">
        <v>1</v>
      </c>
      <c r="M29" s="19" t="str">
        <f ca="1">OFFSET(EnumRes!$A$3,COLUMN()-12,0)&amp;"|5|10|100"</f>
        <v>STR|5|10|100</v>
      </c>
      <c r="N29" s="19" t="str">
        <f ca="1">OFFSET(EnumRes!$A$3,COLUMN()-12,0)&amp;"|5|10|100"</f>
        <v>DEX|5|10|100</v>
      </c>
      <c r="O29" s="19" t="str">
        <f ca="1">OFFSET(EnumRes!$A$3,COLUMN()-12,0)&amp;"|5|10|100"</f>
        <v>INT|5|10|100</v>
      </c>
      <c r="P29" s="19" t="str">
        <f ca="1">OFFSET(EnumRes!$A$3,COLUMN()-12,0)&amp;"|5|10|100"</f>
        <v>WILL|5|10|100</v>
      </c>
      <c r="Q29" s="19" t="str">
        <f ca="1">OFFSET(EnumRes!$A$3,COLUMN()-12,0)&amp;"|5|10|100"</f>
        <v>LUCK|5|10|100</v>
      </c>
      <c r="R29" s="19" t="str">
        <f ca="1">OFFSET(EnumRes!$A$3,COLUMN()-12,0)&amp;"|5|10|100"</f>
        <v>HP|5|10|100</v>
      </c>
      <c r="S29" s="19" t="str">
        <f ca="1">OFFSET(EnumRes!$A$3,COLUMN()-12,0)&amp;"|5|10|100"</f>
        <v>MP|5|10|100</v>
      </c>
      <c r="T29" s="19" t="str">
        <f ca="1">OFFSET(EnumRes!$A$3,COLUMN()-12,0)&amp;"|5|10|100"</f>
        <v>MINATK|5|10|100</v>
      </c>
      <c r="U29" s="19" t="str">
        <f ca="1">OFFSET(EnumRes!$A$3,COLUMN()-12,0)&amp;"|5|10|100"</f>
        <v>MAXATK|5|10|100</v>
      </c>
      <c r="V29" s="19" t="str">
        <f ca="1">OFFSET(EnumRes!$A$3,COLUMN()-12,0)&amp;"|5|10|100"</f>
        <v>BAL|5|10|100</v>
      </c>
      <c r="W29" s="19" t="str">
        <f ca="1">OFFSET(EnumRes!$A$3,COLUMN()-12,0)&amp;"|5|10|100"</f>
        <v>CRT|5|10|100</v>
      </c>
      <c r="X29" s="19" t="str">
        <f ca="1">OFFSET(EnumRes!$A$3,COLUMN()-12,0)&amp;"|5|10|100"</f>
        <v>CRT_M|5|10|100</v>
      </c>
      <c r="Y29" s="19" t="str">
        <f ca="1">OFFSET(EnumRes!$A$3,COLUMN()-12,0)&amp;"|5|10|100"</f>
        <v>DEF|5|10|100</v>
      </c>
      <c r="Z29" s="19" t="str">
        <f ca="1">OFFSET(EnumRes!$A$3,COLUMN()-12,0)&amp;"|5|10|100"</f>
        <v>PRT|5|10|100</v>
      </c>
      <c r="AA29" s="19" t="str">
        <f ca="1">OFFSET(EnumRes!$A$3,COLUMN()-12,0)&amp;"|5|10|100"</f>
        <v>PRT_I|5|10|100</v>
      </c>
      <c r="AB29" s="19" t="str">
        <f ca="1">OFFSET(EnumRes!$A$3,COLUMN()-12,0)&amp;"|5|10|100"</f>
        <v>ATK|5|10|100</v>
      </c>
      <c r="AC29" s="19" t="str">
        <f ca="1">OFFSET(EnumRes!$A$3,COLUMN()-12,0)&amp;"|5|10|100"</f>
        <v>MAGATK|5|10|100</v>
      </c>
      <c r="AD29" s="19" t="str">
        <f ca="1">OFFSET(EnumRes!$A$3,COLUMN()-12,0)&amp;"|5|10|100"</f>
        <v>GODCHS|5|10|100</v>
      </c>
      <c r="AE29" s="19" t="str">
        <f ca="1">OFFSET(EnumRes!$A$3,COLUMN()-12,0)&amp;"|5|10|100"</f>
        <v>SKLCHS|5|10|100</v>
      </c>
    </row>
    <row r="30" spans="1:31" x14ac:dyDescent="0.3">
      <c r="A30" s="16">
        <v>1027</v>
      </c>
      <c r="B30" s="17" t="s">
        <v>285</v>
      </c>
      <c r="C30" s="16" t="s">
        <v>284</v>
      </c>
      <c r="D30" s="16" t="s">
        <v>285</v>
      </c>
      <c r="E30" s="18" t="s">
        <v>352</v>
      </c>
      <c r="F30" s="18" t="s">
        <v>363</v>
      </c>
      <c r="G30" s="18">
        <v>1</v>
      </c>
      <c r="H30" s="19" t="s">
        <v>381</v>
      </c>
      <c r="I30" s="19" t="s">
        <v>387</v>
      </c>
      <c r="J30" s="19" t="s">
        <v>383</v>
      </c>
      <c r="K30" s="19" t="s">
        <v>377</v>
      </c>
      <c r="L30" s="16">
        <v>1</v>
      </c>
      <c r="M30" s="19" t="str">
        <f ca="1">OFFSET(EnumRes!$A$3,COLUMN()-12,0)&amp;"|5|10|100"</f>
        <v>STR|5|10|100</v>
      </c>
      <c r="N30" s="19" t="str">
        <f ca="1">OFFSET(EnumRes!$A$3,COLUMN()-12,0)&amp;"|5|10|100"</f>
        <v>DEX|5|10|100</v>
      </c>
      <c r="O30" s="19" t="str">
        <f ca="1">OFFSET(EnumRes!$A$3,COLUMN()-12,0)&amp;"|5|10|100"</f>
        <v>INT|5|10|100</v>
      </c>
      <c r="P30" s="19" t="str">
        <f ca="1">OFFSET(EnumRes!$A$3,COLUMN()-12,0)&amp;"|5|10|100"</f>
        <v>WILL|5|10|100</v>
      </c>
      <c r="Q30" s="19" t="str">
        <f ca="1">OFFSET(EnumRes!$A$3,COLUMN()-12,0)&amp;"|5|10|100"</f>
        <v>LUCK|5|10|100</v>
      </c>
      <c r="R30" s="19" t="str">
        <f ca="1">OFFSET(EnumRes!$A$3,COLUMN()-12,0)&amp;"|5|10|100"</f>
        <v>HP|5|10|100</v>
      </c>
      <c r="S30" s="19" t="str">
        <f ca="1">OFFSET(EnumRes!$A$3,COLUMN()-12,0)&amp;"|5|10|100"</f>
        <v>MP|5|10|100</v>
      </c>
      <c r="T30" s="19" t="str">
        <f ca="1">OFFSET(EnumRes!$A$3,COLUMN()-12,0)&amp;"|5|10|100"</f>
        <v>MINATK|5|10|100</v>
      </c>
      <c r="U30" s="19" t="str">
        <f ca="1">OFFSET(EnumRes!$A$3,COLUMN()-12,0)&amp;"|5|10|100"</f>
        <v>MAXATK|5|10|100</v>
      </c>
      <c r="V30" s="19" t="str">
        <f ca="1">OFFSET(EnumRes!$A$3,COLUMN()-12,0)&amp;"|5|10|100"</f>
        <v>BAL|5|10|100</v>
      </c>
      <c r="W30" s="19" t="str">
        <f ca="1">OFFSET(EnumRes!$A$3,COLUMN()-12,0)&amp;"|5|10|100"</f>
        <v>CRT|5|10|100</v>
      </c>
      <c r="X30" s="19" t="str">
        <f ca="1">OFFSET(EnumRes!$A$3,COLUMN()-12,0)&amp;"|5|10|100"</f>
        <v>CRT_M|5|10|100</v>
      </c>
      <c r="Y30" s="19" t="str">
        <f ca="1">OFFSET(EnumRes!$A$3,COLUMN()-12,0)&amp;"|5|10|100"</f>
        <v>DEF|5|10|100</v>
      </c>
      <c r="Z30" s="19" t="str">
        <f ca="1">OFFSET(EnumRes!$A$3,COLUMN()-12,0)&amp;"|5|10|100"</f>
        <v>PRT|5|10|100</v>
      </c>
      <c r="AA30" s="19" t="str">
        <f ca="1">OFFSET(EnumRes!$A$3,COLUMN()-12,0)&amp;"|5|10|100"</f>
        <v>PRT_I|5|10|100</v>
      </c>
      <c r="AB30" s="19" t="str">
        <f ca="1">OFFSET(EnumRes!$A$3,COLUMN()-12,0)&amp;"|5|10|100"</f>
        <v>ATK|5|10|100</v>
      </c>
      <c r="AC30" s="19" t="str">
        <f ca="1">OFFSET(EnumRes!$A$3,COLUMN()-12,0)&amp;"|5|10|100"</f>
        <v>MAGATK|5|10|100</v>
      </c>
      <c r="AD30" s="19" t="str">
        <f ca="1">OFFSET(EnumRes!$A$3,COLUMN()-12,0)&amp;"|5|10|100"</f>
        <v>GODCHS|5|10|100</v>
      </c>
      <c r="AE30" s="19" t="str">
        <f ca="1">OFFSET(EnumRes!$A$3,COLUMN()-12,0)&amp;"|5|10|100"</f>
        <v>SKLCHS|5|10|100</v>
      </c>
    </row>
    <row r="31" spans="1:31" x14ac:dyDescent="0.3">
      <c r="A31" s="16">
        <v>1028</v>
      </c>
      <c r="B31" s="17" t="s">
        <v>286</v>
      </c>
      <c r="C31" s="16" t="s">
        <v>284</v>
      </c>
      <c r="D31" s="16" t="s">
        <v>286</v>
      </c>
      <c r="E31" s="18" t="s">
        <v>352</v>
      </c>
      <c r="F31" s="18" t="s">
        <v>363</v>
      </c>
      <c r="G31" s="18">
        <v>1</v>
      </c>
      <c r="H31" s="19" t="s">
        <v>384</v>
      </c>
      <c r="I31" s="19" t="s">
        <v>385</v>
      </c>
      <c r="J31" s="19" t="s">
        <v>377</v>
      </c>
      <c r="K31" s="19" t="s">
        <v>377</v>
      </c>
      <c r="L31" s="16">
        <v>1</v>
      </c>
      <c r="M31" s="19" t="str">
        <f ca="1">OFFSET(EnumRes!$A$3,COLUMN()-12,0)&amp;"|5|10|100"</f>
        <v>STR|5|10|100</v>
      </c>
      <c r="N31" s="19" t="str">
        <f ca="1">OFFSET(EnumRes!$A$3,COLUMN()-12,0)&amp;"|5|10|100"</f>
        <v>DEX|5|10|100</v>
      </c>
      <c r="O31" s="19" t="str">
        <f ca="1">OFFSET(EnumRes!$A$3,COLUMN()-12,0)&amp;"|5|10|100"</f>
        <v>INT|5|10|100</v>
      </c>
      <c r="P31" s="19" t="str">
        <f ca="1">OFFSET(EnumRes!$A$3,COLUMN()-12,0)&amp;"|5|10|100"</f>
        <v>WILL|5|10|100</v>
      </c>
      <c r="Q31" s="19" t="str">
        <f ca="1">OFFSET(EnumRes!$A$3,COLUMN()-12,0)&amp;"|5|10|100"</f>
        <v>LUCK|5|10|100</v>
      </c>
      <c r="R31" s="19" t="str">
        <f ca="1">OFFSET(EnumRes!$A$3,COLUMN()-12,0)&amp;"|5|10|100"</f>
        <v>HP|5|10|100</v>
      </c>
      <c r="S31" s="19" t="str">
        <f ca="1">OFFSET(EnumRes!$A$3,COLUMN()-12,0)&amp;"|5|10|100"</f>
        <v>MP|5|10|100</v>
      </c>
      <c r="T31" s="19" t="str">
        <f ca="1">OFFSET(EnumRes!$A$3,COLUMN()-12,0)&amp;"|5|10|100"</f>
        <v>MINATK|5|10|100</v>
      </c>
      <c r="U31" s="19" t="str">
        <f ca="1">OFFSET(EnumRes!$A$3,COLUMN()-12,0)&amp;"|5|10|100"</f>
        <v>MAXATK|5|10|100</v>
      </c>
      <c r="V31" s="19" t="str">
        <f ca="1">OFFSET(EnumRes!$A$3,COLUMN()-12,0)&amp;"|5|10|100"</f>
        <v>BAL|5|10|100</v>
      </c>
      <c r="W31" s="19" t="str">
        <f ca="1">OFFSET(EnumRes!$A$3,COLUMN()-12,0)&amp;"|5|10|100"</f>
        <v>CRT|5|10|100</v>
      </c>
      <c r="X31" s="19" t="str">
        <f ca="1">OFFSET(EnumRes!$A$3,COLUMN()-12,0)&amp;"|5|10|100"</f>
        <v>CRT_M|5|10|100</v>
      </c>
      <c r="Y31" s="19" t="str">
        <f ca="1">OFFSET(EnumRes!$A$3,COLUMN()-12,0)&amp;"|5|10|100"</f>
        <v>DEF|5|10|100</v>
      </c>
      <c r="Z31" s="19" t="str">
        <f ca="1">OFFSET(EnumRes!$A$3,COLUMN()-12,0)&amp;"|5|10|100"</f>
        <v>PRT|5|10|100</v>
      </c>
      <c r="AA31" s="19" t="str">
        <f ca="1">OFFSET(EnumRes!$A$3,COLUMN()-12,0)&amp;"|5|10|100"</f>
        <v>PRT_I|5|10|100</v>
      </c>
      <c r="AB31" s="19" t="str">
        <f ca="1">OFFSET(EnumRes!$A$3,COLUMN()-12,0)&amp;"|5|10|100"</f>
        <v>ATK|5|10|100</v>
      </c>
      <c r="AC31" s="19" t="str">
        <f ca="1">OFFSET(EnumRes!$A$3,COLUMN()-12,0)&amp;"|5|10|100"</f>
        <v>MAGATK|5|10|100</v>
      </c>
      <c r="AD31" s="19" t="str">
        <f ca="1">OFFSET(EnumRes!$A$3,COLUMN()-12,0)&amp;"|5|10|100"</f>
        <v>GODCHS|5|10|100</v>
      </c>
      <c r="AE31" s="19" t="str">
        <f ca="1">OFFSET(EnumRes!$A$3,COLUMN()-12,0)&amp;"|5|10|100"</f>
        <v>SKLCHS|5|10|100</v>
      </c>
    </row>
    <row r="32" spans="1:31" x14ac:dyDescent="0.3">
      <c r="A32" s="16">
        <v>1029</v>
      </c>
      <c r="B32" s="17" t="s">
        <v>287</v>
      </c>
      <c r="C32" s="16" t="s">
        <v>284</v>
      </c>
      <c r="D32" s="16" t="s">
        <v>287</v>
      </c>
      <c r="E32" s="18" t="s">
        <v>352</v>
      </c>
      <c r="F32" s="18" t="s">
        <v>363</v>
      </c>
      <c r="G32" s="18">
        <v>1</v>
      </c>
      <c r="H32" s="19" t="s">
        <v>385</v>
      </c>
      <c r="I32" s="19" t="s">
        <v>386</v>
      </c>
      <c r="J32" s="19" t="s">
        <v>377</v>
      </c>
      <c r="K32" s="19" t="s">
        <v>377</v>
      </c>
      <c r="L32" s="16">
        <v>1</v>
      </c>
      <c r="M32" s="19" t="str">
        <f ca="1">OFFSET(EnumRes!$A$3,COLUMN()-12,0)&amp;"|5|10|100"</f>
        <v>STR|5|10|100</v>
      </c>
      <c r="N32" s="19" t="str">
        <f ca="1">OFFSET(EnumRes!$A$3,COLUMN()-12,0)&amp;"|5|10|100"</f>
        <v>DEX|5|10|100</v>
      </c>
      <c r="O32" s="19" t="str">
        <f ca="1">OFFSET(EnumRes!$A$3,COLUMN()-12,0)&amp;"|5|10|100"</f>
        <v>INT|5|10|100</v>
      </c>
      <c r="P32" s="19" t="str">
        <f ca="1">OFFSET(EnumRes!$A$3,COLUMN()-12,0)&amp;"|5|10|100"</f>
        <v>WILL|5|10|100</v>
      </c>
      <c r="Q32" s="19" t="str">
        <f ca="1">OFFSET(EnumRes!$A$3,COLUMN()-12,0)&amp;"|5|10|100"</f>
        <v>LUCK|5|10|100</v>
      </c>
      <c r="R32" s="19" t="str">
        <f ca="1">OFFSET(EnumRes!$A$3,COLUMN()-12,0)&amp;"|5|10|100"</f>
        <v>HP|5|10|100</v>
      </c>
      <c r="S32" s="19" t="str">
        <f ca="1">OFFSET(EnumRes!$A$3,COLUMN()-12,0)&amp;"|5|10|100"</f>
        <v>MP|5|10|100</v>
      </c>
      <c r="T32" s="19" t="str">
        <f ca="1">OFFSET(EnumRes!$A$3,COLUMN()-12,0)&amp;"|5|10|100"</f>
        <v>MINATK|5|10|100</v>
      </c>
      <c r="U32" s="19" t="str">
        <f ca="1">OFFSET(EnumRes!$A$3,COLUMN()-12,0)&amp;"|5|10|100"</f>
        <v>MAXATK|5|10|100</v>
      </c>
      <c r="V32" s="19" t="str">
        <f ca="1">OFFSET(EnumRes!$A$3,COLUMN()-12,0)&amp;"|5|10|100"</f>
        <v>BAL|5|10|100</v>
      </c>
      <c r="W32" s="19" t="str">
        <f ca="1">OFFSET(EnumRes!$A$3,COLUMN()-12,0)&amp;"|5|10|100"</f>
        <v>CRT|5|10|100</v>
      </c>
      <c r="X32" s="19" t="str">
        <f ca="1">OFFSET(EnumRes!$A$3,COLUMN()-12,0)&amp;"|5|10|100"</f>
        <v>CRT_M|5|10|100</v>
      </c>
      <c r="Y32" s="19" t="str">
        <f ca="1">OFFSET(EnumRes!$A$3,COLUMN()-12,0)&amp;"|5|10|100"</f>
        <v>DEF|5|10|100</v>
      </c>
      <c r="Z32" s="19" t="str">
        <f ca="1">OFFSET(EnumRes!$A$3,COLUMN()-12,0)&amp;"|5|10|100"</f>
        <v>PRT|5|10|100</v>
      </c>
      <c r="AA32" s="19" t="str">
        <f ca="1">OFFSET(EnumRes!$A$3,COLUMN()-12,0)&amp;"|5|10|100"</f>
        <v>PRT_I|5|10|100</v>
      </c>
      <c r="AB32" s="19" t="str">
        <f ca="1">OFFSET(EnumRes!$A$3,COLUMN()-12,0)&amp;"|5|10|100"</f>
        <v>ATK|5|10|100</v>
      </c>
      <c r="AC32" s="19" t="str">
        <f ca="1">OFFSET(EnumRes!$A$3,COLUMN()-12,0)&amp;"|5|10|100"</f>
        <v>MAGATK|5|10|100</v>
      </c>
      <c r="AD32" s="19" t="str">
        <f ca="1">OFFSET(EnumRes!$A$3,COLUMN()-12,0)&amp;"|5|10|100"</f>
        <v>GODCHS|5|10|100</v>
      </c>
      <c r="AE32" s="19" t="str">
        <f ca="1">OFFSET(EnumRes!$A$3,COLUMN()-12,0)&amp;"|5|10|100"</f>
        <v>SKLCHS|5|10|100</v>
      </c>
    </row>
    <row r="33" spans="1:31" x14ac:dyDescent="0.3">
      <c r="A33" s="16">
        <v>1030</v>
      </c>
      <c r="B33" s="17" t="s">
        <v>290</v>
      </c>
      <c r="C33" s="16" t="s">
        <v>284</v>
      </c>
      <c r="D33" s="16" t="s">
        <v>290</v>
      </c>
      <c r="E33" s="18" t="s">
        <v>352</v>
      </c>
      <c r="F33" s="18" t="s">
        <v>363</v>
      </c>
      <c r="G33" s="18">
        <v>1</v>
      </c>
      <c r="H33" s="19" t="s">
        <v>385</v>
      </c>
      <c r="I33" s="19" t="s">
        <v>386</v>
      </c>
      <c r="J33" s="19" t="s">
        <v>377</v>
      </c>
      <c r="K33" s="19" t="s">
        <v>377</v>
      </c>
      <c r="L33" s="16">
        <v>1</v>
      </c>
      <c r="M33" s="19" t="str">
        <f ca="1">OFFSET(EnumRes!$A$3,COLUMN()-12,0)&amp;"|5|10|100"</f>
        <v>STR|5|10|100</v>
      </c>
      <c r="N33" s="19" t="str">
        <f ca="1">OFFSET(EnumRes!$A$3,COLUMN()-12,0)&amp;"|5|10|100"</f>
        <v>DEX|5|10|100</v>
      </c>
      <c r="O33" s="19" t="str">
        <f ca="1">OFFSET(EnumRes!$A$3,COLUMN()-12,0)&amp;"|5|10|100"</f>
        <v>INT|5|10|100</v>
      </c>
      <c r="P33" s="19" t="str">
        <f ca="1">OFFSET(EnumRes!$A$3,COLUMN()-12,0)&amp;"|5|10|100"</f>
        <v>WILL|5|10|100</v>
      </c>
      <c r="Q33" s="19" t="str">
        <f ca="1">OFFSET(EnumRes!$A$3,COLUMN()-12,0)&amp;"|5|10|100"</f>
        <v>LUCK|5|10|100</v>
      </c>
      <c r="R33" s="19" t="str">
        <f ca="1">OFFSET(EnumRes!$A$3,COLUMN()-12,0)&amp;"|5|10|100"</f>
        <v>HP|5|10|100</v>
      </c>
      <c r="S33" s="19" t="str">
        <f ca="1">OFFSET(EnumRes!$A$3,COLUMN()-12,0)&amp;"|5|10|100"</f>
        <v>MP|5|10|100</v>
      </c>
      <c r="T33" s="19" t="str">
        <f ca="1">OFFSET(EnumRes!$A$3,COLUMN()-12,0)&amp;"|5|10|100"</f>
        <v>MINATK|5|10|100</v>
      </c>
      <c r="U33" s="19" t="str">
        <f ca="1">OFFSET(EnumRes!$A$3,COLUMN()-12,0)&amp;"|5|10|100"</f>
        <v>MAXATK|5|10|100</v>
      </c>
      <c r="V33" s="19" t="str">
        <f ca="1">OFFSET(EnumRes!$A$3,COLUMN()-12,0)&amp;"|5|10|100"</f>
        <v>BAL|5|10|100</v>
      </c>
      <c r="W33" s="19" t="str">
        <f ca="1">OFFSET(EnumRes!$A$3,COLUMN()-12,0)&amp;"|5|10|100"</f>
        <v>CRT|5|10|100</v>
      </c>
      <c r="X33" s="19" t="str">
        <f ca="1">OFFSET(EnumRes!$A$3,COLUMN()-12,0)&amp;"|5|10|100"</f>
        <v>CRT_M|5|10|100</v>
      </c>
      <c r="Y33" s="19" t="str">
        <f ca="1">OFFSET(EnumRes!$A$3,COLUMN()-12,0)&amp;"|5|10|100"</f>
        <v>DEF|5|10|100</v>
      </c>
      <c r="Z33" s="19" t="str">
        <f ca="1">OFFSET(EnumRes!$A$3,COLUMN()-12,0)&amp;"|5|10|100"</f>
        <v>PRT|5|10|100</v>
      </c>
      <c r="AA33" s="19" t="str">
        <f ca="1">OFFSET(EnumRes!$A$3,COLUMN()-12,0)&amp;"|5|10|100"</f>
        <v>PRT_I|5|10|100</v>
      </c>
      <c r="AB33" s="19" t="str">
        <f ca="1">OFFSET(EnumRes!$A$3,COLUMN()-12,0)&amp;"|5|10|100"</f>
        <v>ATK|5|10|100</v>
      </c>
      <c r="AC33" s="19" t="str">
        <f ca="1">OFFSET(EnumRes!$A$3,COLUMN()-12,0)&amp;"|5|10|100"</f>
        <v>MAGATK|5|10|100</v>
      </c>
      <c r="AD33" s="19" t="str">
        <f ca="1">OFFSET(EnumRes!$A$3,COLUMN()-12,0)&amp;"|5|10|100"</f>
        <v>GODCHS|5|10|100</v>
      </c>
      <c r="AE33" s="19" t="str">
        <f ca="1">OFFSET(EnumRes!$A$3,COLUMN()-12,0)&amp;"|5|10|100"</f>
        <v>SKLCHS|5|10|100</v>
      </c>
    </row>
    <row r="34" spans="1:31" x14ac:dyDescent="0.3">
      <c r="A34" s="16">
        <v>1031</v>
      </c>
      <c r="B34" s="17" t="s">
        <v>292</v>
      </c>
      <c r="C34" s="16" t="s">
        <v>284</v>
      </c>
      <c r="D34" s="16" t="s">
        <v>292</v>
      </c>
      <c r="E34" s="18" t="s">
        <v>352</v>
      </c>
      <c r="F34" s="18" t="s">
        <v>363</v>
      </c>
      <c r="G34" s="18">
        <v>1</v>
      </c>
      <c r="H34" s="19" t="s">
        <v>385</v>
      </c>
      <c r="I34" s="19" t="s">
        <v>386</v>
      </c>
      <c r="J34" s="19" t="s">
        <v>377</v>
      </c>
      <c r="K34" s="19" t="s">
        <v>377</v>
      </c>
      <c r="L34" s="16">
        <v>1</v>
      </c>
      <c r="M34" s="19" t="str">
        <f ca="1">OFFSET(EnumRes!$A$3,COLUMN()-12,0)&amp;"|5|10|100"</f>
        <v>STR|5|10|100</v>
      </c>
      <c r="N34" s="19" t="str">
        <f ca="1">OFFSET(EnumRes!$A$3,COLUMN()-12,0)&amp;"|5|10|100"</f>
        <v>DEX|5|10|100</v>
      </c>
      <c r="O34" s="19" t="str">
        <f ca="1">OFFSET(EnumRes!$A$3,COLUMN()-12,0)&amp;"|5|10|100"</f>
        <v>INT|5|10|100</v>
      </c>
      <c r="P34" s="19" t="str">
        <f ca="1">OFFSET(EnumRes!$A$3,COLUMN()-12,0)&amp;"|5|10|100"</f>
        <v>WILL|5|10|100</v>
      </c>
      <c r="Q34" s="19" t="str">
        <f ca="1">OFFSET(EnumRes!$A$3,COLUMN()-12,0)&amp;"|5|10|100"</f>
        <v>LUCK|5|10|100</v>
      </c>
      <c r="R34" s="19" t="str">
        <f ca="1">OFFSET(EnumRes!$A$3,COLUMN()-12,0)&amp;"|5|10|100"</f>
        <v>HP|5|10|100</v>
      </c>
      <c r="S34" s="19" t="str">
        <f ca="1">OFFSET(EnumRes!$A$3,COLUMN()-12,0)&amp;"|5|10|100"</f>
        <v>MP|5|10|100</v>
      </c>
      <c r="T34" s="19" t="str">
        <f ca="1">OFFSET(EnumRes!$A$3,COLUMN()-12,0)&amp;"|5|10|100"</f>
        <v>MINATK|5|10|100</v>
      </c>
      <c r="U34" s="19" t="str">
        <f ca="1">OFFSET(EnumRes!$A$3,COLUMN()-12,0)&amp;"|5|10|100"</f>
        <v>MAXATK|5|10|100</v>
      </c>
      <c r="V34" s="19" t="str">
        <f ca="1">OFFSET(EnumRes!$A$3,COLUMN()-12,0)&amp;"|5|10|100"</f>
        <v>BAL|5|10|100</v>
      </c>
      <c r="W34" s="19" t="str">
        <f ca="1">OFFSET(EnumRes!$A$3,COLUMN()-12,0)&amp;"|5|10|100"</f>
        <v>CRT|5|10|100</v>
      </c>
      <c r="X34" s="19" t="str">
        <f ca="1">OFFSET(EnumRes!$A$3,COLUMN()-12,0)&amp;"|5|10|100"</f>
        <v>CRT_M|5|10|100</v>
      </c>
      <c r="Y34" s="19" t="str">
        <f ca="1">OFFSET(EnumRes!$A$3,COLUMN()-12,0)&amp;"|5|10|100"</f>
        <v>DEF|5|10|100</v>
      </c>
      <c r="Z34" s="19" t="str">
        <f ca="1">OFFSET(EnumRes!$A$3,COLUMN()-12,0)&amp;"|5|10|100"</f>
        <v>PRT|5|10|100</v>
      </c>
      <c r="AA34" s="19" t="str">
        <f ca="1">OFFSET(EnumRes!$A$3,COLUMN()-12,0)&amp;"|5|10|100"</f>
        <v>PRT_I|5|10|100</v>
      </c>
      <c r="AB34" s="19" t="str">
        <f ca="1">OFFSET(EnumRes!$A$3,COLUMN()-12,0)&amp;"|5|10|100"</f>
        <v>ATK|5|10|100</v>
      </c>
      <c r="AC34" s="19" t="str">
        <f ca="1">OFFSET(EnumRes!$A$3,COLUMN()-12,0)&amp;"|5|10|100"</f>
        <v>MAGATK|5|10|100</v>
      </c>
      <c r="AD34" s="19" t="str">
        <f ca="1">OFFSET(EnumRes!$A$3,COLUMN()-12,0)&amp;"|5|10|100"</f>
        <v>GODCHS|5|10|100</v>
      </c>
      <c r="AE34" s="19" t="str">
        <f ca="1">OFFSET(EnumRes!$A$3,COLUMN()-12,0)&amp;"|5|10|100"</f>
        <v>SKLCHS|5|10|100</v>
      </c>
    </row>
    <row r="35" spans="1:31" x14ac:dyDescent="0.3">
      <c r="A35" s="16">
        <v>1032</v>
      </c>
      <c r="B35" s="17" t="s">
        <v>294</v>
      </c>
      <c r="C35" s="16" t="s">
        <v>284</v>
      </c>
      <c r="D35" s="16" t="s">
        <v>294</v>
      </c>
      <c r="E35" s="18" t="s">
        <v>352</v>
      </c>
      <c r="F35" s="18" t="s">
        <v>363</v>
      </c>
      <c r="G35" s="18">
        <v>1</v>
      </c>
      <c r="H35" s="19" t="s">
        <v>385</v>
      </c>
      <c r="I35" s="19" t="s">
        <v>386</v>
      </c>
      <c r="J35" s="19" t="s">
        <v>377</v>
      </c>
      <c r="K35" s="19" t="s">
        <v>377</v>
      </c>
      <c r="L35" s="16">
        <v>1</v>
      </c>
      <c r="M35" s="19" t="str">
        <f ca="1">OFFSET(EnumRes!$A$3,COLUMN()-12,0)&amp;"|5|10|100"</f>
        <v>STR|5|10|100</v>
      </c>
      <c r="N35" s="19" t="str">
        <f ca="1">OFFSET(EnumRes!$A$3,COLUMN()-12,0)&amp;"|5|10|100"</f>
        <v>DEX|5|10|100</v>
      </c>
      <c r="O35" s="19" t="str">
        <f ca="1">OFFSET(EnumRes!$A$3,COLUMN()-12,0)&amp;"|5|10|100"</f>
        <v>INT|5|10|100</v>
      </c>
      <c r="P35" s="19" t="str">
        <f ca="1">OFFSET(EnumRes!$A$3,COLUMN()-12,0)&amp;"|5|10|100"</f>
        <v>WILL|5|10|100</v>
      </c>
      <c r="Q35" s="19" t="str">
        <f ca="1">OFFSET(EnumRes!$A$3,COLUMN()-12,0)&amp;"|5|10|100"</f>
        <v>LUCK|5|10|100</v>
      </c>
      <c r="R35" s="19" t="str">
        <f ca="1">OFFSET(EnumRes!$A$3,COLUMN()-12,0)&amp;"|5|10|100"</f>
        <v>HP|5|10|100</v>
      </c>
      <c r="S35" s="19" t="str">
        <f ca="1">OFFSET(EnumRes!$A$3,COLUMN()-12,0)&amp;"|5|10|100"</f>
        <v>MP|5|10|100</v>
      </c>
      <c r="T35" s="19" t="str">
        <f ca="1">OFFSET(EnumRes!$A$3,COLUMN()-12,0)&amp;"|5|10|100"</f>
        <v>MINATK|5|10|100</v>
      </c>
      <c r="U35" s="19" t="str">
        <f ca="1">OFFSET(EnumRes!$A$3,COLUMN()-12,0)&amp;"|5|10|100"</f>
        <v>MAXATK|5|10|100</v>
      </c>
      <c r="V35" s="19" t="str">
        <f ca="1">OFFSET(EnumRes!$A$3,COLUMN()-12,0)&amp;"|5|10|100"</f>
        <v>BAL|5|10|100</v>
      </c>
      <c r="W35" s="19" t="str">
        <f ca="1">OFFSET(EnumRes!$A$3,COLUMN()-12,0)&amp;"|5|10|100"</f>
        <v>CRT|5|10|100</v>
      </c>
      <c r="X35" s="19" t="str">
        <f ca="1">OFFSET(EnumRes!$A$3,COLUMN()-12,0)&amp;"|5|10|100"</f>
        <v>CRT_M|5|10|100</v>
      </c>
      <c r="Y35" s="19" t="str">
        <f ca="1">OFFSET(EnumRes!$A$3,COLUMN()-12,0)&amp;"|5|10|100"</f>
        <v>DEF|5|10|100</v>
      </c>
      <c r="Z35" s="19" t="str">
        <f ca="1">OFFSET(EnumRes!$A$3,COLUMN()-12,0)&amp;"|5|10|100"</f>
        <v>PRT|5|10|100</v>
      </c>
      <c r="AA35" s="19" t="str">
        <f ca="1">OFFSET(EnumRes!$A$3,COLUMN()-12,0)&amp;"|5|10|100"</f>
        <v>PRT_I|5|10|100</v>
      </c>
      <c r="AB35" s="19" t="str">
        <f ca="1">OFFSET(EnumRes!$A$3,COLUMN()-12,0)&amp;"|5|10|100"</f>
        <v>ATK|5|10|100</v>
      </c>
      <c r="AC35" s="19" t="str">
        <f ca="1">OFFSET(EnumRes!$A$3,COLUMN()-12,0)&amp;"|5|10|100"</f>
        <v>MAGATK|5|10|100</v>
      </c>
      <c r="AD35" s="19" t="str">
        <f ca="1">OFFSET(EnumRes!$A$3,COLUMN()-12,0)&amp;"|5|10|100"</f>
        <v>GODCHS|5|10|100</v>
      </c>
      <c r="AE35" s="19" t="str">
        <f ca="1">OFFSET(EnumRes!$A$3,COLUMN()-12,0)&amp;"|5|10|100"</f>
        <v>SKLCHS|5|10|100</v>
      </c>
    </row>
    <row r="36" spans="1:31" x14ac:dyDescent="0.3">
      <c r="A36" s="16">
        <v>1033</v>
      </c>
      <c r="B36" s="17" t="s">
        <v>296</v>
      </c>
      <c r="C36" s="16" t="s">
        <v>284</v>
      </c>
      <c r="D36" s="16" t="s">
        <v>296</v>
      </c>
      <c r="E36" s="18" t="s">
        <v>352</v>
      </c>
      <c r="F36" s="18" t="s">
        <v>363</v>
      </c>
      <c r="G36" s="18">
        <v>1</v>
      </c>
      <c r="H36" s="19" t="s">
        <v>385</v>
      </c>
      <c r="I36" s="19" t="s">
        <v>386</v>
      </c>
      <c r="J36" s="19" t="s">
        <v>377</v>
      </c>
      <c r="K36" s="19" t="s">
        <v>377</v>
      </c>
      <c r="L36" s="16">
        <v>1</v>
      </c>
      <c r="M36" s="19" t="str">
        <f ca="1">OFFSET(EnumRes!$A$3,COLUMN()-12,0)&amp;"|5|10|100"</f>
        <v>STR|5|10|100</v>
      </c>
      <c r="N36" s="19" t="str">
        <f ca="1">OFFSET(EnumRes!$A$3,COLUMN()-12,0)&amp;"|5|10|100"</f>
        <v>DEX|5|10|100</v>
      </c>
      <c r="O36" s="19" t="str">
        <f ca="1">OFFSET(EnumRes!$A$3,COLUMN()-12,0)&amp;"|5|10|100"</f>
        <v>INT|5|10|100</v>
      </c>
      <c r="P36" s="19" t="str">
        <f ca="1">OFFSET(EnumRes!$A$3,COLUMN()-12,0)&amp;"|5|10|100"</f>
        <v>WILL|5|10|100</v>
      </c>
      <c r="Q36" s="19" t="str">
        <f ca="1">OFFSET(EnumRes!$A$3,COLUMN()-12,0)&amp;"|5|10|100"</f>
        <v>LUCK|5|10|100</v>
      </c>
      <c r="R36" s="19" t="str">
        <f ca="1">OFFSET(EnumRes!$A$3,COLUMN()-12,0)&amp;"|5|10|100"</f>
        <v>HP|5|10|100</v>
      </c>
      <c r="S36" s="19" t="str">
        <f ca="1">OFFSET(EnumRes!$A$3,COLUMN()-12,0)&amp;"|5|10|100"</f>
        <v>MP|5|10|100</v>
      </c>
      <c r="T36" s="19" t="str">
        <f ca="1">OFFSET(EnumRes!$A$3,COLUMN()-12,0)&amp;"|5|10|100"</f>
        <v>MINATK|5|10|100</v>
      </c>
      <c r="U36" s="19" t="str">
        <f ca="1">OFFSET(EnumRes!$A$3,COLUMN()-12,0)&amp;"|5|10|100"</f>
        <v>MAXATK|5|10|100</v>
      </c>
      <c r="V36" s="19" t="str">
        <f ca="1">OFFSET(EnumRes!$A$3,COLUMN()-12,0)&amp;"|5|10|100"</f>
        <v>BAL|5|10|100</v>
      </c>
      <c r="W36" s="19" t="str">
        <f ca="1">OFFSET(EnumRes!$A$3,COLUMN()-12,0)&amp;"|5|10|100"</f>
        <v>CRT|5|10|100</v>
      </c>
      <c r="X36" s="19" t="str">
        <f ca="1">OFFSET(EnumRes!$A$3,COLUMN()-12,0)&amp;"|5|10|100"</f>
        <v>CRT_M|5|10|100</v>
      </c>
      <c r="Y36" s="19" t="str">
        <f ca="1">OFFSET(EnumRes!$A$3,COLUMN()-12,0)&amp;"|5|10|100"</f>
        <v>DEF|5|10|100</v>
      </c>
      <c r="Z36" s="19" t="str">
        <f ca="1">OFFSET(EnumRes!$A$3,COLUMN()-12,0)&amp;"|5|10|100"</f>
        <v>PRT|5|10|100</v>
      </c>
      <c r="AA36" s="19" t="str">
        <f ca="1">OFFSET(EnumRes!$A$3,COLUMN()-12,0)&amp;"|5|10|100"</f>
        <v>PRT_I|5|10|100</v>
      </c>
      <c r="AB36" s="19" t="str">
        <f ca="1">OFFSET(EnumRes!$A$3,COLUMN()-12,0)&amp;"|5|10|100"</f>
        <v>ATK|5|10|100</v>
      </c>
      <c r="AC36" s="19" t="str">
        <f ca="1">OFFSET(EnumRes!$A$3,COLUMN()-12,0)&amp;"|5|10|100"</f>
        <v>MAGATK|5|10|100</v>
      </c>
      <c r="AD36" s="19" t="str">
        <f ca="1">OFFSET(EnumRes!$A$3,COLUMN()-12,0)&amp;"|5|10|100"</f>
        <v>GODCHS|5|10|100</v>
      </c>
      <c r="AE36" s="19" t="str">
        <f ca="1">OFFSET(EnumRes!$A$3,COLUMN()-12,0)&amp;"|5|10|100"</f>
        <v>SKLCHS|5|10|100</v>
      </c>
    </row>
    <row r="37" spans="1:31" x14ac:dyDescent="0.3">
      <c r="A37" s="16">
        <v>1034</v>
      </c>
      <c r="B37" s="17" t="s">
        <v>298</v>
      </c>
      <c r="C37" s="16" t="s">
        <v>284</v>
      </c>
      <c r="D37" s="16" t="s">
        <v>298</v>
      </c>
      <c r="E37" s="18" t="s">
        <v>352</v>
      </c>
      <c r="F37" s="18" t="s">
        <v>363</v>
      </c>
      <c r="G37" s="18">
        <v>1</v>
      </c>
      <c r="H37" s="19" t="s">
        <v>385</v>
      </c>
      <c r="I37" s="19" t="s">
        <v>386</v>
      </c>
      <c r="J37" s="19" t="s">
        <v>377</v>
      </c>
      <c r="K37" s="19" t="s">
        <v>377</v>
      </c>
      <c r="L37" s="16">
        <v>1</v>
      </c>
      <c r="M37" s="19" t="str">
        <f ca="1">OFFSET(EnumRes!$A$3,COLUMN()-12,0)&amp;"|5|10|100"</f>
        <v>STR|5|10|100</v>
      </c>
      <c r="N37" s="19" t="str">
        <f ca="1">OFFSET(EnumRes!$A$3,COLUMN()-12,0)&amp;"|5|10|100"</f>
        <v>DEX|5|10|100</v>
      </c>
      <c r="O37" s="19" t="str">
        <f ca="1">OFFSET(EnumRes!$A$3,COLUMN()-12,0)&amp;"|5|10|100"</f>
        <v>INT|5|10|100</v>
      </c>
      <c r="P37" s="19" t="str">
        <f ca="1">OFFSET(EnumRes!$A$3,COLUMN()-12,0)&amp;"|5|10|100"</f>
        <v>WILL|5|10|100</v>
      </c>
      <c r="Q37" s="19" t="str">
        <f ca="1">OFFSET(EnumRes!$A$3,COLUMN()-12,0)&amp;"|5|10|100"</f>
        <v>LUCK|5|10|100</v>
      </c>
      <c r="R37" s="19" t="str">
        <f ca="1">OFFSET(EnumRes!$A$3,COLUMN()-12,0)&amp;"|5|10|100"</f>
        <v>HP|5|10|100</v>
      </c>
      <c r="S37" s="19" t="str">
        <f ca="1">OFFSET(EnumRes!$A$3,COLUMN()-12,0)&amp;"|5|10|100"</f>
        <v>MP|5|10|100</v>
      </c>
      <c r="T37" s="19" t="str">
        <f ca="1">OFFSET(EnumRes!$A$3,COLUMN()-12,0)&amp;"|5|10|100"</f>
        <v>MINATK|5|10|100</v>
      </c>
      <c r="U37" s="19" t="str">
        <f ca="1">OFFSET(EnumRes!$A$3,COLUMN()-12,0)&amp;"|5|10|100"</f>
        <v>MAXATK|5|10|100</v>
      </c>
      <c r="V37" s="19" t="str">
        <f ca="1">OFFSET(EnumRes!$A$3,COLUMN()-12,0)&amp;"|5|10|100"</f>
        <v>BAL|5|10|100</v>
      </c>
      <c r="W37" s="19" t="str">
        <f ca="1">OFFSET(EnumRes!$A$3,COLUMN()-12,0)&amp;"|5|10|100"</f>
        <v>CRT|5|10|100</v>
      </c>
      <c r="X37" s="19" t="str">
        <f ca="1">OFFSET(EnumRes!$A$3,COLUMN()-12,0)&amp;"|5|10|100"</f>
        <v>CRT_M|5|10|100</v>
      </c>
      <c r="Y37" s="19" t="str">
        <f ca="1">OFFSET(EnumRes!$A$3,COLUMN()-12,0)&amp;"|5|10|100"</f>
        <v>DEF|5|10|100</v>
      </c>
      <c r="Z37" s="19" t="str">
        <f ca="1">OFFSET(EnumRes!$A$3,COLUMN()-12,0)&amp;"|5|10|100"</f>
        <v>PRT|5|10|100</v>
      </c>
      <c r="AA37" s="19" t="str">
        <f ca="1">OFFSET(EnumRes!$A$3,COLUMN()-12,0)&amp;"|5|10|100"</f>
        <v>PRT_I|5|10|100</v>
      </c>
      <c r="AB37" s="19" t="str">
        <f ca="1">OFFSET(EnumRes!$A$3,COLUMN()-12,0)&amp;"|5|10|100"</f>
        <v>ATK|5|10|100</v>
      </c>
      <c r="AC37" s="19" t="str">
        <f ca="1">OFFSET(EnumRes!$A$3,COLUMN()-12,0)&amp;"|5|10|100"</f>
        <v>MAGATK|5|10|100</v>
      </c>
      <c r="AD37" s="19" t="str">
        <f ca="1">OFFSET(EnumRes!$A$3,COLUMN()-12,0)&amp;"|5|10|100"</f>
        <v>GODCHS|5|10|100</v>
      </c>
      <c r="AE37" s="19" t="str">
        <f ca="1">OFFSET(EnumRes!$A$3,COLUMN()-12,0)&amp;"|5|10|100"</f>
        <v>SKLCHS|5|10|100</v>
      </c>
    </row>
    <row r="38" spans="1:31" x14ac:dyDescent="0.3">
      <c r="A38" s="16">
        <v>1035</v>
      </c>
      <c r="B38" s="17" t="s">
        <v>300</v>
      </c>
      <c r="C38" s="16" t="s">
        <v>284</v>
      </c>
      <c r="D38" s="16" t="s">
        <v>300</v>
      </c>
      <c r="E38" s="18" t="s">
        <v>352</v>
      </c>
      <c r="F38" s="18" t="s">
        <v>363</v>
      </c>
      <c r="G38" s="18">
        <v>1</v>
      </c>
      <c r="H38" s="19" t="s">
        <v>385</v>
      </c>
      <c r="I38" s="19" t="s">
        <v>386</v>
      </c>
      <c r="J38" s="19" t="s">
        <v>377</v>
      </c>
      <c r="K38" s="19" t="s">
        <v>377</v>
      </c>
      <c r="L38" s="16">
        <v>1</v>
      </c>
      <c r="M38" s="19" t="str">
        <f ca="1">OFFSET(EnumRes!$A$3,COLUMN()-12,0)&amp;"|5|10|100"</f>
        <v>STR|5|10|100</v>
      </c>
      <c r="N38" s="19" t="str">
        <f ca="1">OFFSET(EnumRes!$A$3,COLUMN()-12,0)&amp;"|5|10|100"</f>
        <v>DEX|5|10|100</v>
      </c>
      <c r="O38" s="19" t="str">
        <f ca="1">OFFSET(EnumRes!$A$3,COLUMN()-12,0)&amp;"|5|10|100"</f>
        <v>INT|5|10|100</v>
      </c>
      <c r="P38" s="19" t="str">
        <f ca="1">OFFSET(EnumRes!$A$3,COLUMN()-12,0)&amp;"|5|10|100"</f>
        <v>WILL|5|10|100</v>
      </c>
      <c r="Q38" s="19" t="str">
        <f ca="1">OFFSET(EnumRes!$A$3,COLUMN()-12,0)&amp;"|5|10|100"</f>
        <v>LUCK|5|10|100</v>
      </c>
      <c r="R38" s="19" t="str">
        <f ca="1">OFFSET(EnumRes!$A$3,COLUMN()-12,0)&amp;"|5|10|100"</f>
        <v>HP|5|10|100</v>
      </c>
      <c r="S38" s="19" t="str">
        <f ca="1">OFFSET(EnumRes!$A$3,COLUMN()-12,0)&amp;"|5|10|100"</f>
        <v>MP|5|10|100</v>
      </c>
      <c r="T38" s="19" t="str">
        <f ca="1">OFFSET(EnumRes!$A$3,COLUMN()-12,0)&amp;"|5|10|100"</f>
        <v>MINATK|5|10|100</v>
      </c>
      <c r="U38" s="19" t="str">
        <f ca="1">OFFSET(EnumRes!$A$3,COLUMN()-12,0)&amp;"|5|10|100"</f>
        <v>MAXATK|5|10|100</v>
      </c>
      <c r="V38" s="19" t="str">
        <f ca="1">OFFSET(EnumRes!$A$3,COLUMN()-12,0)&amp;"|5|10|100"</f>
        <v>BAL|5|10|100</v>
      </c>
      <c r="W38" s="19" t="str">
        <f ca="1">OFFSET(EnumRes!$A$3,COLUMN()-12,0)&amp;"|5|10|100"</f>
        <v>CRT|5|10|100</v>
      </c>
      <c r="X38" s="19" t="str">
        <f ca="1">OFFSET(EnumRes!$A$3,COLUMN()-12,0)&amp;"|5|10|100"</f>
        <v>CRT_M|5|10|100</v>
      </c>
      <c r="Y38" s="19" t="str">
        <f ca="1">OFFSET(EnumRes!$A$3,COLUMN()-12,0)&amp;"|5|10|100"</f>
        <v>DEF|5|10|100</v>
      </c>
      <c r="Z38" s="19" t="str">
        <f ca="1">OFFSET(EnumRes!$A$3,COLUMN()-12,0)&amp;"|5|10|100"</f>
        <v>PRT|5|10|100</v>
      </c>
      <c r="AA38" s="19" t="str">
        <f ca="1">OFFSET(EnumRes!$A$3,COLUMN()-12,0)&amp;"|5|10|100"</f>
        <v>PRT_I|5|10|100</v>
      </c>
      <c r="AB38" s="19" t="str">
        <f ca="1">OFFSET(EnumRes!$A$3,COLUMN()-12,0)&amp;"|5|10|100"</f>
        <v>ATK|5|10|100</v>
      </c>
      <c r="AC38" s="19" t="str">
        <f ca="1">OFFSET(EnumRes!$A$3,COLUMN()-12,0)&amp;"|5|10|100"</f>
        <v>MAGATK|5|10|100</v>
      </c>
      <c r="AD38" s="19" t="str">
        <f ca="1">OFFSET(EnumRes!$A$3,COLUMN()-12,0)&amp;"|5|10|100"</f>
        <v>GODCHS|5|10|100</v>
      </c>
      <c r="AE38" s="19" t="str">
        <f ca="1">OFFSET(EnumRes!$A$3,COLUMN()-12,0)&amp;"|5|10|100"</f>
        <v>SKLCHS|5|10|100</v>
      </c>
    </row>
    <row r="39" spans="1:31" x14ac:dyDescent="0.3">
      <c r="A39" s="16">
        <v>1036</v>
      </c>
      <c r="B39" s="17" t="s">
        <v>203</v>
      </c>
      <c r="C39" s="16" t="s">
        <v>284</v>
      </c>
      <c r="D39" s="16" t="s">
        <v>203</v>
      </c>
      <c r="E39" s="18" t="s">
        <v>352</v>
      </c>
      <c r="F39" s="18" t="s">
        <v>363</v>
      </c>
      <c r="G39" s="18">
        <v>1</v>
      </c>
      <c r="H39" s="19" t="s">
        <v>385</v>
      </c>
      <c r="I39" s="19" t="s">
        <v>386</v>
      </c>
      <c r="J39" s="19" t="s">
        <v>377</v>
      </c>
      <c r="K39" s="19" t="s">
        <v>377</v>
      </c>
      <c r="L39" s="16">
        <v>1</v>
      </c>
      <c r="M39" s="19" t="str">
        <f ca="1">OFFSET(EnumRes!$A$3,COLUMN()-12,0)&amp;"|5|10|100"</f>
        <v>STR|5|10|100</v>
      </c>
      <c r="N39" s="19" t="str">
        <f ca="1">OFFSET(EnumRes!$A$3,COLUMN()-12,0)&amp;"|5|10|100"</f>
        <v>DEX|5|10|100</v>
      </c>
      <c r="O39" s="19" t="str">
        <f ca="1">OFFSET(EnumRes!$A$3,COLUMN()-12,0)&amp;"|5|10|100"</f>
        <v>INT|5|10|100</v>
      </c>
      <c r="P39" s="19" t="str">
        <f ca="1">OFFSET(EnumRes!$A$3,COLUMN()-12,0)&amp;"|5|10|100"</f>
        <v>WILL|5|10|100</v>
      </c>
      <c r="Q39" s="19" t="str">
        <f ca="1">OFFSET(EnumRes!$A$3,COLUMN()-12,0)&amp;"|5|10|100"</f>
        <v>LUCK|5|10|100</v>
      </c>
      <c r="R39" s="19" t="str">
        <f ca="1">OFFSET(EnumRes!$A$3,COLUMN()-12,0)&amp;"|5|10|100"</f>
        <v>HP|5|10|100</v>
      </c>
      <c r="S39" s="19" t="str">
        <f ca="1">OFFSET(EnumRes!$A$3,COLUMN()-12,0)&amp;"|5|10|100"</f>
        <v>MP|5|10|100</v>
      </c>
      <c r="T39" s="19" t="str">
        <f ca="1">OFFSET(EnumRes!$A$3,COLUMN()-12,0)&amp;"|5|10|100"</f>
        <v>MINATK|5|10|100</v>
      </c>
      <c r="U39" s="19" t="str">
        <f ca="1">OFFSET(EnumRes!$A$3,COLUMN()-12,0)&amp;"|5|10|100"</f>
        <v>MAXATK|5|10|100</v>
      </c>
      <c r="V39" s="19" t="str">
        <f ca="1">OFFSET(EnumRes!$A$3,COLUMN()-12,0)&amp;"|5|10|100"</f>
        <v>BAL|5|10|100</v>
      </c>
      <c r="W39" s="19" t="str">
        <f ca="1">OFFSET(EnumRes!$A$3,COLUMN()-12,0)&amp;"|5|10|100"</f>
        <v>CRT|5|10|100</v>
      </c>
      <c r="X39" s="19" t="str">
        <f ca="1">OFFSET(EnumRes!$A$3,COLUMN()-12,0)&amp;"|5|10|100"</f>
        <v>CRT_M|5|10|100</v>
      </c>
      <c r="Y39" s="19" t="str">
        <f ca="1">OFFSET(EnumRes!$A$3,COLUMN()-12,0)&amp;"|5|10|100"</f>
        <v>DEF|5|10|100</v>
      </c>
      <c r="Z39" s="19" t="str">
        <f ca="1">OFFSET(EnumRes!$A$3,COLUMN()-12,0)&amp;"|5|10|100"</f>
        <v>PRT|5|10|100</v>
      </c>
      <c r="AA39" s="19" t="str">
        <f ca="1">OFFSET(EnumRes!$A$3,COLUMN()-12,0)&amp;"|5|10|100"</f>
        <v>PRT_I|5|10|100</v>
      </c>
      <c r="AB39" s="19" t="str">
        <f ca="1">OFFSET(EnumRes!$A$3,COLUMN()-12,0)&amp;"|5|10|100"</f>
        <v>ATK|5|10|100</v>
      </c>
      <c r="AC39" s="19" t="str">
        <f ca="1">OFFSET(EnumRes!$A$3,COLUMN()-12,0)&amp;"|5|10|100"</f>
        <v>MAGATK|5|10|100</v>
      </c>
      <c r="AD39" s="19" t="str">
        <f ca="1">OFFSET(EnumRes!$A$3,COLUMN()-12,0)&amp;"|5|10|100"</f>
        <v>GODCHS|5|10|100</v>
      </c>
      <c r="AE39" s="19" t="str">
        <f ca="1">OFFSET(EnumRes!$A$3,COLUMN()-12,0)&amp;"|5|10|100"</f>
        <v>SKLCHS|5|10|100</v>
      </c>
    </row>
    <row r="40" spans="1:31" x14ac:dyDescent="0.3">
      <c r="A40" s="16">
        <v>1037</v>
      </c>
      <c r="B40" s="17" t="s">
        <v>303</v>
      </c>
      <c r="C40" s="16" t="s">
        <v>284</v>
      </c>
      <c r="D40" s="16" t="s">
        <v>303</v>
      </c>
      <c r="E40" s="18" t="s">
        <v>352</v>
      </c>
      <c r="F40" s="18" t="s">
        <v>363</v>
      </c>
      <c r="G40" s="18">
        <v>1</v>
      </c>
      <c r="H40" s="19" t="s">
        <v>385</v>
      </c>
      <c r="I40" s="19" t="s">
        <v>386</v>
      </c>
      <c r="J40" s="19" t="s">
        <v>377</v>
      </c>
      <c r="K40" s="19" t="s">
        <v>377</v>
      </c>
      <c r="L40" s="16">
        <v>1</v>
      </c>
      <c r="M40" s="19" t="str">
        <f ca="1">OFFSET(EnumRes!$A$3,COLUMN()-12,0)&amp;"|5|10|100"</f>
        <v>STR|5|10|100</v>
      </c>
      <c r="N40" s="19" t="str">
        <f ca="1">OFFSET(EnumRes!$A$3,COLUMN()-12,0)&amp;"|5|10|100"</f>
        <v>DEX|5|10|100</v>
      </c>
      <c r="O40" s="19" t="str">
        <f ca="1">OFFSET(EnumRes!$A$3,COLUMN()-12,0)&amp;"|5|10|100"</f>
        <v>INT|5|10|100</v>
      </c>
      <c r="P40" s="19" t="str">
        <f ca="1">OFFSET(EnumRes!$A$3,COLUMN()-12,0)&amp;"|5|10|100"</f>
        <v>WILL|5|10|100</v>
      </c>
      <c r="Q40" s="19" t="str">
        <f ca="1">OFFSET(EnumRes!$A$3,COLUMN()-12,0)&amp;"|5|10|100"</f>
        <v>LUCK|5|10|100</v>
      </c>
      <c r="R40" s="19" t="str">
        <f ca="1">OFFSET(EnumRes!$A$3,COLUMN()-12,0)&amp;"|5|10|100"</f>
        <v>HP|5|10|100</v>
      </c>
      <c r="S40" s="19" t="str">
        <f ca="1">OFFSET(EnumRes!$A$3,COLUMN()-12,0)&amp;"|5|10|100"</f>
        <v>MP|5|10|100</v>
      </c>
      <c r="T40" s="19" t="str">
        <f ca="1">OFFSET(EnumRes!$A$3,COLUMN()-12,0)&amp;"|5|10|100"</f>
        <v>MINATK|5|10|100</v>
      </c>
      <c r="U40" s="19" t="str">
        <f ca="1">OFFSET(EnumRes!$A$3,COLUMN()-12,0)&amp;"|5|10|100"</f>
        <v>MAXATK|5|10|100</v>
      </c>
      <c r="V40" s="19" t="str">
        <f ca="1">OFFSET(EnumRes!$A$3,COLUMN()-12,0)&amp;"|5|10|100"</f>
        <v>BAL|5|10|100</v>
      </c>
      <c r="W40" s="19" t="str">
        <f ca="1">OFFSET(EnumRes!$A$3,COLUMN()-12,0)&amp;"|5|10|100"</f>
        <v>CRT|5|10|100</v>
      </c>
      <c r="X40" s="19" t="str">
        <f ca="1">OFFSET(EnumRes!$A$3,COLUMN()-12,0)&amp;"|5|10|100"</f>
        <v>CRT_M|5|10|100</v>
      </c>
      <c r="Y40" s="19" t="str">
        <f ca="1">OFFSET(EnumRes!$A$3,COLUMN()-12,0)&amp;"|5|10|100"</f>
        <v>DEF|5|10|100</v>
      </c>
      <c r="Z40" s="19" t="str">
        <f ca="1">OFFSET(EnumRes!$A$3,COLUMN()-12,0)&amp;"|5|10|100"</f>
        <v>PRT|5|10|100</v>
      </c>
      <c r="AA40" s="19" t="str">
        <f ca="1">OFFSET(EnumRes!$A$3,COLUMN()-12,0)&amp;"|5|10|100"</f>
        <v>PRT_I|5|10|100</v>
      </c>
      <c r="AB40" s="19" t="str">
        <f ca="1">OFFSET(EnumRes!$A$3,COLUMN()-12,0)&amp;"|5|10|100"</f>
        <v>ATK|5|10|100</v>
      </c>
      <c r="AC40" s="19" t="str">
        <f ca="1">OFFSET(EnumRes!$A$3,COLUMN()-12,0)&amp;"|5|10|100"</f>
        <v>MAGATK|5|10|100</v>
      </c>
      <c r="AD40" s="19" t="str">
        <f ca="1">OFFSET(EnumRes!$A$3,COLUMN()-12,0)&amp;"|5|10|100"</f>
        <v>GODCHS|5|10|100</v>
      </c>
      <c r="AE40" s="19" t="str">
        <f ca="1">OFFSET(EnumRes!$A$3,COLUMN()-12,0)&amp;"|5|10|100"</f>
        <v>SKLCHS|5|10|100</v>
      </c>
    </row>
    <row r="41" spans="1:31" x14ac:dyDescent="0.3">
      <c r="A41" s="16">
        <v>1038</v>
      </c>
      <c r="B41" s="17" t="s">
        <v>305</v>
      </c>
      <c r="C41" s="16" t="s">
        <v>284</v>
      </c>
      <c r="D41" s="16" t="s">
        <v>305</v>
      </c>
      <c r="E41" s="18" t="s">
        <v>352</v>
      </c>
      <c r="F41" s="18" t="s">
        <v>363</v>
      </c>
      <c r="G41" s="18">
        <v>1</v>
      </c>
      <c r="H41" s="19" t="s">
        <v>385</v>
      </c>
      <c r="I41" s="19" t="s">
        <v>386</v>
      </c>
      <c r="J41" s="19" t="s">
        <v>377</v>
      </c>
      <c r="K41" s="19" t="s">
        <v>377</v>
      </c>
      <c r="L41" s="16">
        <v>1</v>
      </c>
      <c r="M41" s="19" t="str">
        <f ca="1">OFFSET(EnumRes!$A$3,COLUMN()-12,0)&amp;"|5|10|100"</f>
        <v>STR|5|10|100</v>
      </c>
      <c r="N41" s="19" t="str">
        <f ca="1">OFFSET(EnumRes!$A$3,COLUMN()-12,0)&amp;"|5|10|100"</f>
        <v>DEX|5|10|100</v>
      </c>
      <c r="O41" s="19" t="str">
        <f ca="1">OFFSET(EnumRes!$A$3,COLUMN()-12,0)&amp;"|5|10|100"</f>
        <v>INT|5|10|100</v>
      </c>
      <c r="P41" s="19" t="str">
        <f ca="1">OFFSET(EnumRes!$A$3,COLUMN()-12,0)&amp;"|5|10|100"</f>
        <v>WILL|5|10|100</v>
      </c>
      <c r="Q41" s="19" t="str">
        <f ca="1">OFFSET(EnumRes!$A$3,COLUMN()-12,0)&amp;"|5|10|100"</f>
        <v>LUCK|5|10|100</v>
      </c>
      <c r="R41" s="19" t="str">
        <f ca="1">OFFSET(EnumRes!$A$3,COLUMN()-12,0)&amp;"|5|10|100"</f>
        <v>HP|5|10|100</v>
      </c>
      <c r="S41" s="19" t="str">
        <f ca="1">OFFSET(EnumRes!$A$3,COLUMN()-12,0)&amp;"|5|10|100"</f>
        <v>MP|5|10|100</v>
      </c>
      <c r="T41" s="19" t="str">
        <f ca="1">OFFSET(EnumRes!$A$3,COLUMN()-12,0)&amp;"|5|10|100"</f>
        <v>MINATK|5|10|100</v>
      </c>
      <c r="U41" s="19" t="str">
        <f ca="1">OFFSET(EnumRes!$A$3,COLUMN()-12,0)&amp;"|5|10|100"</f>
        <v>MAXATK|5|10|100</v>
      </c>
      <c r="V41" s="19" t="str">
        <f ca="1">OFFSET(EnumRes!$A$3,COLUMN()-12,0)&amp;"|5|10|100"</f>
        <v>BAL|5|10|100</v>
      </c>
      <c r="W41" s="19" t="str">
        <f ca="1">OFFSET(EnumRes!$A$3,COLUMN()-12,0)&amp;"|5|10|100"</f>
        <v>CRT|5|10|100</v>
      </c>
      <c r="X41" s="19" t="str">
        <f ca="1">OFFSET(EnumRes!$A$3,COLUMN()-12,0)&amp;"|5|10|100"</f>
        <v>CRT_M|5|10|100</v>
      </c>
      <c r="Y41" s="19" t="str">
        <f ca="1">OFFSET(EnumRes!$A$3,COLUMN()-12,0)&amp;"|5|10|100"</f>
        <v>DEF|5|10|100</v>
      </c>
      <c r="Z41" s="19" t="str">
        <f ca="1">OFFSET(EnumRes!$A$3,COLUMN()-12,0)&amp;"|5|10|100"</f>
        <v>PRT|5|10|100</v>
      </c>
      <c r="AA41" s="19" t="str">
        <f ca="1">OFFSET(EnumRes!$A$3,COLUMN()-12,0)&amp;"|5|10|100"</f>
        <v>PRT_I|5|10|100</v>
      </c>
      <c r="AB41" s="19" t="str">
        <f ca="1">OFFSET(EnumRes!$A$3,COLUMN()-12,0)&amp;"|5|10|100"</f>
        <v>ATK|5|10|100</v>
      </c>
      <c r="AC41" s="19" t="str">
        <f ca="1">OFFSET(EnumRes!$A$3,COLUMN()-12,0)&amp;"|5|10|100"</f>
        <v>MAGATK|5|10|100</v>
      </c>
      <c r="AD41" s="19" t="str">
        <f ca="1">OFFSET(EnumRes!$A$3,COLUMN()-12,0)&amp;"|5|10|100"</f>
        <v>GODCHS|5|10|100</v>
      </c>
      <c r="AE41" s="19" t="str">
        <f ca="1">OFFSET(EnumRes!$A$3,COLUMN()-12,0)&amp;"|5|10|100"</f>
        <v>SKLCHS|5|10|100</v>
      </c>
    </row>
    <row r="42" spans="1:31" x14ac:dyDescent="0.3">
      <c r="A42" s="16">
        <v>1039</v>
      </c>
      <c r="B42" s="17" t="s">
        <v>218</v>
      </c>
      <c r="C42" s="16" t="s">
        <v>284</v>
      </c>
      <c r="D42" s="16" t="s">
        <v>218</v>
      </c>
      <c r="E42" s="18" t="s">
        <v>352</v>
      </c>
      <c r="F42" s="18" t="s">
        <v>363</v>
      </c>
      <c r="G42" s="18">
        <v>1</v>
      </c>
      <c r="H42" s="19" t="s">
        <v>377</v>
      </c>
      <c r="I42" s="19" t="s">
        <v>377</v>
      </c>
      <c r="J42" s="19" t="s">
        <v>377</v>
      </c>
      <c r="K42" s="19" t="s">
        <v>377</v>
      </c>
      <c r="L42" s="16">
        <v>1</v>
      </c>
      <c r="M42" s="19" t="str">
        <f ca="1">OFFSET(EnumRes!$A$3,COLUMN()-12,0)&amp;"|5|10|100"</f>
        <v>STR|5|10|100</v>
      </c>
      <c r="N42" s="19" t="str">
        <f ca="1">OFFSET(EnumRes!$A$3,COLUMN()-12,0)&amp;"|5|10|100"</f>
        <v>DEX|5|10|100</v>
      </c>
      <c r="O42" s="19" t="str">
        <f ca="1">OFFSET(EnumRes!$A$3,COLUMN()-12,0)&amp;"|5|10|100"</f>
        <v>INT|5|10|100</v>
      </c>
      <c r="P42" s="19" t="str">
        <f ca="1">OFFSET(EnumRes!$A$3,COLUMN()-12,0)&amp;"|5|10|100"</f>
        <v>WILL|5|10|100</v>
      </c>
      <c r="Q42" s="19" t="str">
        <f ca="1">OFFSET(EnumRes!$A$3,COLUMN()-12,0)&amp;"|5|10|100"</f>
        <v>LUCK|5|10|100</v>
      </c>
      <c r="R42" s="19" t="str">
        <f ca="1">OFFSET(EnumRes!$A$3,COLUMN()-12,0)&amp;"|5|10|100"</f>
        <v>HP|5|10|100</v>
      </c>
      <c r="S42" s="19" t="str">
        <f ca="1">OFFSET(EnumRes!$A$3,COLUMN()-12,0)&amp;"|5|10|100"</f>
        <v>MP|5|10|100</v>
      </c>
      <c r="T42" s="19" t="str">
        <f ca="1">OFFSET(EnumRes!$A$3,COLUMN()-12,0)&amp;"|5|10|100"</f>
        <v>MINATK|5|10|100</v>
      </c>
      <c r="U42" s="19" t="str">
        <f ca="1">OFFSET(EnumRes!$A$3,COLUMN()-12,0)&amp;"|5|10|100"</f>
        <v>MAXATK|5|10|100</v>
      </c>
      <c r="V42" s="19" t="str">
        <f ca="1">OFFSET(EnumRes!$A$3,COLUMN()-12,0)&amp;"|5|10|100"</f>
        <v>BAL|5|10|100</v>
      </c>
      <c r="W42" s="19" t="str">
        <f ca="1">OFFSET(EnumRes!$A$3,COLUMN()-12,0)&amp;"|5|10|100"</f>
        <v>CRT|5|10|100</v>
      </c>
      <c r="X42" s="19" t="str">
        <f ca="1">OFFSET(EnumRes!$A$3,COLUMN()-12,0)&amp;"|5|10|100"</f>
        <v>CRT_M|5|10|100</v>
      </c>
      <c r="Y42" s="19" t="str">
        <f ca="1">OFFSET(EnumRes!$A$3,COLUMN()-12,0)&amp;"|5|10|100"</f>
        <v>DEF|5|10|100</v>
      </c>
      <c r="Z42" s="19" t="str">
        <f ca="1">OFFSET(EnumRes!$A$3,COLUMN()-12,0)&amp;"|5|10|100"</f>
        <v>PRT|5|10|100</v>
      </c>
      <c r="AA42" s="19" t="str">
        <f ca="1">OFFSET(EnumRes!$A$3,COLUMN()-12,0)&amp;"|5|10|100"</f>
        <v>PRT_I|5|10|100</v>
      </c>
      <c r="AB42" s="19" t="str">
        <f ca="1">OFFSET(EnumRes!$A$3,COLUMN()-12,0)&amp;"|5|10|100"</f>
        <v>ATK|5|10|100</v>
      </c>
      <c r="AC42" s="19" t="str">
        <f ca="1">OFFSET(EnumRes!$A$3,COLUMN()-12,0)&amp;"|5|10|100"</f>
        <v>MAGATK|5|10|100</v>
      </c>
      <c r="AD42" s="19" t="str">
        <f ca="1">OFFSET(EnumRes!$A$3,COLUMN()-12,0)&amp;"|5|10|100"</f>
        <v>GODCHS|5|10|100</v>
      </c>
      <c r="AE42" s="19" t="str">
        <f ca="1">OFFSET(EnumRes!$A$3,COLUMN()-12,0)&amp;"|5|10|100"</f>
        <v>SKLCHS|5|10|100</v>
      </c>
    </row>
    <row r="43" spans="1:31" x14ac:dyDescent="0.3">
      <c r="A43" s="16">
        <v>1040</v>
      </c>
      <c r="B43" s="17" t="s">
        <v>220</v>
      </c>
      <c r="C43" s="16" t="s">
        <v>284</v>
      </c>
      <c r="D43" s="16" t="s">
        <v>220</v>
      </c>
      <c r="E43" s="18" t="s">
        <v>352</v>
      </c>
      <c r="F43" s="18" t="s">
        <v>363</v>
      </c>
      <c r="G43" s="18">
        <v>1</v>
      </c>
      <c r="H43" s="19" t="s">
        <v>377</v>
      </c>
      <c r="I43" s="19" t="s">
        <v>377</v>
      </c>
      <c r="J43" s="19" t="s">
        <v>377</v>
      </c>
      <c r="K43" s="19" t="s">
        <v>377</v>
      </c>
      <c r="L43" s="16">
        <v>1</v>
      </c>
      <c r="M43" s="19" t="str">
        <f ca="1">OFFSET(EnumRes!$A$3,COLUMN()-12,0)&amp;"|5|10|100"</f>
        <v>STR|5|10|100</v>
      </c>
      <c r="N43" s="19" t="str">
        <f ca="1">OFFSET(EnumRes!$A$3,COLUMN()-12,0)&amp;"|5|10|100"</f>
        <v>DEX|5|10|100</v>
      </c>
      <c r="O43" s="19" t="str">
        <f ca="1">OFFSET(EnumRes!$A$3,COLUMN()-12,0)&amp;"|5|10|100"</f>
        <v>INT|5|10|100</v>
      </c>
      <c r="P43" s="19" t="str">
        <f ca="1">OFFSET(EnumRes!$A$3,COLUMN()-12,0)&amp;"|5|10|100"</f>
        <v>WILL|5|10|100</v>
      </c>
      <c r="Q43" s="19" t="str">
        <f ca="1">OFFSET(EnumRes!$A$3,COLUMN()-12,0)&amp;"|5|10|100"</f>
        <v>LUCK|5|10|100</v>
      </c>
      <c r="R43" s="19" t="str">
        <f ca="1">OFFSET(EnumRes!$A$3,COLUMN()-12,0)&amp;"|5|10|100"</f>
        <v>HP|5|10|100</v>
      </c>
      <c r="S43" s="19" t="str">
        <f ca="1">OFFSET(EnumRes!$A$3,COLUMN()-12,0)&amp;"|5|10|100"</f>
        <v>MP|5|10|100</v>
      </c>
      <c r="T43" s="19" t="str">
        <f ca="1">OFFSET(EnumRes!$A$3,COLUMN()-12,0)&amp;"|5|10|100"</f>
        <v>MINATK|5|10|100</v>
      </c>
      <c r="U43" s="19" t="str">
        <f ca="1">OFFSET(EnumRes!$A$3,COLUMN()-12,0)&amp;"|5|10|100"</f>
        <v>MAXATK|5|10|100</v>
      </c>
      <c r="V43" s="19" t="str">
        <f ca="1">OFFSET(EnumRes!$A$3,COLUMN()-12,0)&amp;"|5|10|100"</f>
        <v>BAL|5|10|100</v>
      </c>
      <c r="W43" s="19" t="str">
        <f ca="1">OFFSET(EnumRes!$A$3,COLUMN()-12,0)&amp;"|5|10|100"</f>
        <v>CRT|5|10|100</v>
      </c>
      <c r="X43" s="19" t="str">
        <f ca="1">OFFSET(EnumRes!$A$3,COLUMN()-12,0)&amp;"|5|10|100"</f>
        <v>CRT_M|5|10|100</v>
      </c>
      <c r="Y43" s="19" t="str">
        <f ca="1">OFFSET(EnumRes!$A$3,COLUMN()-12,0)&amp;"|5|10|100"</f>
        <v>DEF|5|10|100</v>
      </c>
      <c r="Z43" s="19" t="str">
        <f ca="1">OFFSET(EnumRes!$A$3,COLUMN()-12,0)&amp;"|5|10|100"</f>
        <v>PRT|5|10|100</v>
      </c>
      <c r="AA43" s="19" t="str">
        <f ca="1">OFFSET(EnumRes!$A$3,COLUMN()-12,0)&amp;"|5|10|100"</f>
        <v>PRT_I|5|10|100</v>
      </c>
      <c r="AB43" s="19" t="str">
        <f ca="1">OFFSET(EnumRes!$A$3,COLUMN()-12,0)&amp;"|5|10|100"</f>
        <v>ATK|5|10|100</v>
      </c>
      <c r="AC43" s="19" t="str">
        <f ca="1">OFFSET(EnumRes!$A$3,COLUMN()-12,0)&amp;"|5|10|100"</f>
        <v>MAGATK|5|10|100</v>
      </c>
      <c r="AD43" s="19" t="str">
        <f ca="1">OFFSET(EnumRes!$A$3,COLUMN()-12,0)&amp;"|5|10|100"</f>
        <v>GODCHS|5|10|100</v>
      </c>
      <c r="AE43" s="19" t="str">
        <f ca="1">OFFSET(EnumRes!$A$3,COLUMN()-12,0)&amp;"|5|10|100"</f>
        <v>SKLCHS|5|10|100</v>
      </c>
    </row>
    <row r="44" spans="1:31" x14ac:dyDescent="0.3">
      <c r="A44" s="16">
        <v>1041</v>
      </c>
      <c r="B44" s="17" t="s">
        <v>224</v>
      </c>
      <c r="C44" s="16" t="s">
        <v>284</v>
      </c>
      <c r="D44" s="16" t="s">
        <v>224</v>
      </c>
      <c r="E44" s="18" t="s">
        <v>359</v>
      </c>
      <c r="F44" s="18" t="s">
        <v>201</v>
      </c>
      <c r="G44" s="18">
        <v>2</v>
      </c>
      <c r="H44" s="19" t="s">
        <v>389</v>
      </c>
      <c r="I44" s="19" t="s">
        <v>388</v>
      </c>
      <c r="J44" s="19" t="s">
        <v>390</v>
      </c>
      <c r="K44" s="19" t="s">
        <v>391</v>
      </c>
      <c r="L44" s="16">
        <v>2</v>
      </c>
      <c r="M44" s="19" t="str">
        <f ca="1">OFFSET(EnumRes!$A$3,COLUMN()-12,0)&amp;"|5|10|100"</f>
        <v>STR|5|10|100</v>
      </c>
      <c r="N44" s="19" t="str">
        <f ca="1">OFFSET(EnumRes!$A$3,COLUMN()-12,0)&amp;"|5|10|100"</f>
        <v>DEX|5|10|100</v>
      </c>
      <c r="O44" s="19" t="str">
        <f ca="1">OFFSET(EnumRes!$A$3,COLUMN()-12,0)&amp;"|5|10|100"</f>
        <v>INT|5|10|100</v>
      </c>
      <c r="P44" s="19" t="str">
        <f ca="1">OFFSET(EnumRes!$A$3,COLUMN()-12,0)&amp;"|5|10|100"</f>
        <v>WILL|5|10|100</v>
      </c>
      <c r="Q44" s="19" t="str">
        <f ca="1">OFFSET(EnumRes!$A$3,COLUMN()-12,0)&amp;"|5|10|100"</f>
        <v>LUCK|5|10|100</v>
      </c>
      <c r="R44" s="19" t="str">
        <f ca="1">OFFSET(EnumRes!$A$3,COLUMN()-12,0)&amp;"|5|10|100"</f>
        <v>HP|5|10|100</v>
      </c>
      <c r="S44" s="19" t="str">
        <f ca="1">OFFSET(EnumRes!$A$3,COLUMN()-12,0)&amp;"|5|10|100"</f>
        <v>MP|5|10|100</v>
      </c>
      <c r="T44" s="19" t="str">
        <f ca="1">OFFSET(EnumRes!$A$3,COLUMN()-12,0)&amp;"|5|10|100"</f>
        <v>MINATK|5|10|100</v>
      </c>
      <c r="U44" s="19" t="str">
        <f ca="1">OFFSET(EnumRes!$A$3,COLUMN()-12,0)&amp;"|5|10|100"</f>
        <v>MAXATK|5|10|100</v>
      </c>
      <c r="V44" s="19" t="str">
        <f ca="1">OFFSET(EnumRes!$A$3,COLUMN()-12,0)&amp;"|5|10|100"</f>
        <v>BAL|5|10|100</v>
      </c>
      <c r="W44" s="19" t="str">
        <f ca="1">OFFSET(EnumRes!$A$3,COLUMN()-12,0)&amp;"|5|10|100"</f>
        <v>CRT|5|10|100</v>
      </c>
      <c r="X44" s="19" t="str">
        <f ca="1">OFFSET(EnumRes!$A$3,COLUMN()-12,0)&amp;"|5|10|100"</f>
        <v>CRT_M|5|10|100</v>
      </c>
      <c r="Y44" s="19" t="str">
        <f ca="1">OFFSET(EnumRes!$A$3,COLUMN()-12,0)&amp;"|5|10|100"</f>
        <v>DEF|5|10|100</v>
      </c>
      <c r="Z44" s="19" t="str">
        <f ca="1">OFFSET(EnumRes!$A$3,COLUMN()-12,0)&amp;"|5|10|100"</f>
        <v>PRT|5|10|100</v>
      </c>
      <c r="AA44" s="19" t="str">
        <f ca="1">OFFSET(EnumRes!$A$3,COLUMN()-12,0)&amp;"|5|10|100"</f>
        <v>PRT_I|5|10|100</v>
      </c>
      <c r="AB44" s="19" t="str">
        <f ca="1">OFFSET(EnumRes!$A$3,COLUMN()-12,0)&amp;"|5|10|100"</f>
        <v>ATK|5|10|100</v>
      </c>
      <c r="AC44" s="19" t="str">
        <f ca="1">OFFSET(EnumRes!$A$3,COLUMN()-12,0)&amp;"|5|10|100"</f>
        <v>MAGATK|5|10|100</v>
      </c>
      <c r="AD44" s="19" t="str">
        <f ca="1">OFFSET(EnumRes!$A$3,COLUMN()-12,0)&amp;"|5|10|100"</f>
        <v>GODCHS|5|10|100</v>
      </c>
      <c r="AE44" s="19" t="str">
        <f ca="1">OFFSET(EnumRes!$A$3,COLUMN()-12,0)&amp;"|5|10|100"</f>
        <v>SKLCHS|5|10|100</v>
      </c>
    </row>
    <row r="45" spans="1:31" x14ac:dyDescent="0.3">
      <c r="A45" s="16">
        <v>1042</v>
      </c>
      <c r="B45" s="17" t="s">
        <v>225</v>
      </c>
      <c r="C45" s="16" t="s">
        <v>284</v>
      </c>
      <c r="D45" s="16" t="s">
        <v>225</v>
      </c>
      <c r="E45" s="18" t="s">
        <v>360</v>
      </c>
      <c r="F45" s="18" t="s">
        <v>201</v>
      </c>
      <c r="G45" s="18">
        <v>2</v>
      </c>
      <c r="H45" s="19" t="s">
        <v>389</v>
      </c>
      <c r="I45" s="19" t="s">
        <v>388</v>
      </c>
      <c r="J45" s="19" t="s">
        <v>390</v>
      </c>
      <c r="K45" s="19" t="s">
        <v>391</v>
      </c>
      <c r="L45" s="16">
        <v>2</v>
      </c>
      <c r="M45" s="19" t="str">
        <f ca="1">OFFSET(EnumRes!$A$3,COLUMN()-12,0)&amp;"|5|10|100"</f>
        <v>STR|5|10|100</v>
      </c>
      <c r="N45" s="19" t="str">
        <f ca="1">OFFSET(EnumRes!$A$3,COLUMN()-12,0)&amp;"|5|10|100"</f>
        <v>DEX|5|10|100</v>
      </c>
      <c r="O45" s="19" t="str">
        <f ca="1">OFFSET(EnumRes!$A$3,COLUMN()-12,0)&amp;"|5|10|100"</f>
        <v>INT|5|10|100</v>
      </c>
      <c r="P45" s="19" t="str">
        <f ca="1">OFFSET(EnumRes!$A$3,COLUMN()-12,0)&amp;"|5|10|100"</f>
        <v>WILL|5|10|100</v>
      </c>
      <c r="Q45" s="19" t="str">
        <f ca="1">OFFSET(EnumRes!$A$3,COLUMN()-12,0)&amp;"|5|10|100"</f>
        <v>LUCK|5|10|100</v>
      </c>
      <c r="R45" s="19" t="str">
        <f ca="1">OFFSET(EnumRes!$A$3,COLUMN()-12,0)&amp;"|5|10|100"</f>
        <v>HP|5|10|100</v>
      </c>
      <c r="S45" s="19" t="str">
        <f ca="1">OFFSET(EnumRes!$A$3,COLUMN()-12,0)&amp;"|5|10|100"</f>
        <v>MP|5|10|100</v>
      </c>
      <c r="T45" s="19" t="str">
        <f ca="1">OFFSET(EnumRes!$A$3,COLUMN()-12,0)&amp;"|5|10|100"</f>
        <v>MINATK|5|10|100</v>
      </c>
      <c r="U45" s="19" t="str">
        <f ca="1">OFFSET(EnumRes!$A$3,COLUMN()-12,0)&amp;"|5|10|100"</f>
        <v>MAXATK|5|10|100</v>
      </c>
      <c r="V45" s="19" t="str">
        <f ca="1">OFFSET(EnumRes!$A$3,COLUMN()-12,0)&amp;"|5|10|100"</f>
        <v>BAL|5|10|100</v>
      </c>
      <c r="W45" s="19" t="str">
        <f ca="1">OFFSET(EnumRes!$A$3,COLUMN()-12,0)&amp;"|5|10|100"</f>
        <v>CRT|5|10|100</v>
      </c>
      <c r="X45" s="19" t="str">
        <f ca="1">OFFSET(EnumRes!$A$3,COLUMN()-12,0)&amp;"|5|10|100"</f>
        <v>CRT_M|5|10|100</v>
      </c>
      <c r="Y45" s="19" t="str">
        <f ca="1">OFFSET(EnumRes!$A$3,COLUMN()-12,0)&amp;"|5|10|100"</f>
        <v>DEF|5|10|100</v>
      </c>
      <c r="Z45" s="19" t="str">
        <f ca="1">OFFSET(EnumRes!$A$3,COLUMN()-12,0)&amp;"|5|10|100"</f>
        <v>PRT|5|10|100</v>
      </c>
      <c r="AA45" s="19" t="str">
        <f ca="1">OFFSET(EnumRes!$A$3,COLUMN()-12,0)&amp;"|5|10|100"</f>
        <v>PRT_I|5|10|100</v>
      </c>
      <c r="AB45" s="19" t="str">
        <f ca="1">OFFSET(EnumRes!$A$3,COLUMN()-12,0)&amp;"|5|10|100"</f>
        <v>ATK|5|10|100</v>
      </c>
      <c r="AC45" s="19" t="str">
        <f ca="1">OFFSET(EnumRes!$A$3,COLUMN()-12,0)&amp;"|5|10|100"</f>
        <v>MAGATK|5|10|100</v>
      </c>
      <c r="AD45" s="19" t="str">
        <f ca="1">OFFSET(EnumRes!$A$3,COLUMN()-12,0)&amp;"|5|10|100"</f>
        <v>GODCHS|5|10|100</v>
      </c>
      <c r="AE45" s="19" t="str">
        <f ca="1">OFFSET(EnumRes!$A$3,COLUMN()-12,0)&amp;"|5|10|100"</f>
        <v>SKLCHS|5|10|100</v>
      </c>
    </row>
    <row r="46" spans="1:31" x14ac:dyDescent="0.3">
      <c r="A46" s="16">
        <v>1043</v>
      </c>
      <c r="B46" s="17" t="s">
        <v>227</v>
      </c>
      <c r="C46" s="16" t="s">
        <v>284</v>
      </c>
      <c r="D46" s="16" t="s">
        <v>227</v>
      </c>
      <c r="E46" s="18" t="s">
        <v>361</v>
      </c>
      <c r="F46" s="18" t="s">
        <v>201</v>
      </c>
      <c r="G46" s="18">
        <v>2</v>
      </c>
      <c r="H46" s="19" t="s">
        <v>389</v>
      </c>
      <c r="I46" s="19" t="s">
        <v>388</v>
      </c>
      <c r="J46" s="19" t="s">
        <v>390</v>
      </c>
      <c r="K46" s="19" t="s">
        <v>391</v>
      </c>
      <c r="L46" s="16">
        <v>2</v>
      </c>
      <c r="M46" s="19" t="str">
        <f ca="1">OFFSET(EnumRes!$A$3,COLUMN()-12,0)&amp;"|5|10|100"</f>
        <v>STR|5|10|100</v>
      </c>
      <c r="N46" s="19" t="str">
        <f ca="1">OFFSET(EnumRes!$A$3,COLUMN()-12,0)&amp;"|5|10|100"</f>
        <v>DEX|5|10|100</v>
      </c>
      <c r="O46" s="19" t="str">
        <f ca="1">OFFSET(EnumRes!$A$3,COLUMN()-12,0)&amp;"|5|10|100"</f>
        <v>INT|5|10|100</v>
      </c>
      <c r="P46" s="19" t="str">
        <f ca="1">OFFSET(EnumRes!$A$3,COLUMN()-12,0)&amp;"|5|10|100"</f>
        <v>WILL|5|10|100</v>
      </c>
      <c r="Q46" s="19" t="str">
        <f ca="1">OFFSET(EnumRes!$A$3,COLUMN()-12,0)&amp;"|5|10|100"</f>
        <v>LUCK|5|10|100</v>
      </c>
      <c r="R46" s="19" t="str">
        <f ca="1">OFFSET(EnumRes!$A$3,COLUMN()-12,0)&amp;"|5|10|100"</f>
        <v>HP|5|10|100</v>
      </c>
      <c r="S46" s="19" t="str">
        <f ca="1">OFFSET(EnumRes!$A$3,COLUMN()-12,0)&amp;"|5|10|100"</f>
        <v>MP|5|10|100</v>
      </c>
      <c r="T46" s="19" t="str">
        <f ca="1">OFFSET(EnumRes!$A$3,COLUMN()-12,0)&amp;"|5|10|100"</f>
        <v>MINATK|5|10|100</v>
      </c>
      <c r="U46" s="19" t="str">
        <f ca="1">OFFSET(EnumRes!$A$3,COLUMN()-12,0)&amp;"|5|10|100"</f>
        <v>MAXATK|5|10|100</v>
      </c>
      <c r="V46" s="19" t="str">
        <f ca="1">OFFSET(EnumRes!$A$3,COLUMN()-12,0)&amp;"|5|10|100"</f>
        <v>BAL|5|10|100</v>
      </c>
      <c r="W46" s="19" t="str">
        <f ca="1">OFFSET(EnumRes!$A$3,COLUMN()-12,0)&amp;"|5|10|100"</f>
        <v>CRT|5|10|100</v>
      </c>
      <c r="X46" s="19" t="str">
        <f ca="1">OFFSET(EnumRes!$A$3,COLUMN()-12,0)&amp;"|5|10|100"</f>
        <v>CRT_M|5|10|100</v>
      </c>
      <c r="Y46" s="19" t="str">
        <f ca="1">OFFSET(EnumRes!$A$3,COLUMN()-12,0)&amp;"|5|10|100"</f>
        <v>DEF|5|10|100</v>
      </c>
      <c r="Z46" s="19" t="str">
        <f ca="1">OFFSET(EnumRes!$A$3,COLUMN()-12,0)&amp;"|5|10|100"</f>
        <v>PRT|5|10|100</v>
      </c>
      <c r="AA46" s="19" t="str">
        <f ca="1">OFFSET(EnumRes!$A$3,COLUMN()-12,0)&amp;"|5|10|100"</f>
        <v>PRT_I|5|10|100</v>
      </c>
      <c r="AB46" s="19" t="str">
        <f ca="1">OFFSET(EnumRes!$A$3,COLUMN()-12,0)&amp;"|5|10|100"</f>
        <v>ATK|5|10|100</v>
      </c>
      <c r="AC46" s="19" t="str">
        <f ca="1">OFFSET(EnumRes!$A$3,COLUMN()-12,0)&amp;"|5|10|100"</f>
        <v>MAGATK|5|10|100</v>
      </c>
      <c r="AD46" s="19" t="str">
        <f ca="1">OFFSET(EnumRes!$A$3,COLUMN()-12,0)&amp;"|5|10|100"</f>
        <v>GODCHS|5|10|100</v>
      </c>
      <c r="AE46" s="19" t="str">
        <f ca="1">OFFSET(EnumRes!$A$3,COLUMN()-12,0)&amp;"|5|10|100"</f>
        <v>SKLCHS|5|10|100</v>
      </c>
    </row>
    <row r="47" spans="1:31" x14ac:dyDescent="0.3">
      <c r="A47" s="16">
        <v>1044</v>
      </c>
      <c r="B47" s="17" t="s">
        <v>229</v>
      </c>
      <c r="C47" s="16" t="s">
        <v>284</v>
      </c>
      <c r="D47" s="16" t="s">
        <v>229</v>
      </c>
      <c r="E47" s="18" t="s">
        <v>361</v>
      </c>
      <c r="F47" s="18" t="s">
        <v>201</v>
      </c>
      <c r="G47" s="18">
        <v>2</v>
      </c>
      <c r="H47" s="19" t="s">
        <v>389</v>
      </c>
      <c r="I47" s="19" t="s">
        <v>388</v>
      </c>
      <c r="J47" s="19" t="s">
        <v>390</v>
      </c>
      <c r="K47" s="19" t="s">
        <v>391</v>
      </c>
      <c r="L47" s="16">
        <v>2</v>
      </c>
      <c r="M47" s="19" t="str">
        <f ca="1">OFFSET(EnumRes!$A$3,COLUMN()-12,0)&amp;"|5|10|100"</f>
        <v>STR|5|10|100</v>
      </c>
      <c r="N47" s="19" t="str">
        <f ca="1">OFFSET(EnumRes!$A$3,COLUMN()-12,0)&amp;"|5|10|100"</f>
        <v>DEX|5|10|100</v>
      </c>
      <c r="O47" s="19" t="str">
        <f ca="1">OFFSET(EnumRes!$A$3,COLUMN()-12,0)&amp;"|5|10|100"</f>
        <v>INT|5|10|100</v>
      </c>
      <c r="P47" s="19" t="str">
        <f ca="1">OFFSET(EnumRes!$A$3,COLUMN()-12,0)&amp;"|5|10|100"</f>
        <v>WILL|5|10|100</v>
      </c>
      <c r="Q47" s="19" t="str">
        <f ca="1">OFFSET(EnumRes!$A$3,COLUMN()-12,0)&amp;"|5|10|100"</f>
        <v>LUCK|5|10|100</v>
      </c>
      <c r="R47" s="19" t="str">
        <f ca="1">OFFSET(EnumRes!$A$3,COLUMN()-12,0)&amp;"|5|10|100"</f>
        <v>HP|5|10|100</v>
      </c>
      <c r="S47" s="19" t="str">
        <f ca="1">OFFSET(EnumRes!$A$3,COLUMN()-12,0)&amp;"|5|10|100"</f>
        <v>MP|5|10|100</v>
      </c>
      <c r="T47" s="19" t="str">
        <f ca="1">OFFSET(EnumRes!$A$3,COLUMN()-12,0)&amp;"|5|10|100"</f>
        <v>MINATK|5|10|100</v>
      </c>
      <c r="U47" s="19" t="str">
        <f ca="1">OFFSET(EnumRes!$A$3,COLUMN()-12,0)&amp;"|5|10|100"</f>
        <v>MAXATK|5|10|100</v>
      </c>
      <c r="V47" s="19" t="str">
        <f ca="1">OFFSET(EnumRes!$A$3,COLUMN()-12,0)&amp;"|5|10|100"</f>
        <v>BAL|5|10|100</v>
      </c>
      <c r="W47" s="19" t="str">
        <f ca="1">OFFSET(EnumRes!$A$3,COLUMN()-12,0)&amp;"|5|10|100"</f>
        <v>CRT|5|10|100</v>
      </c>
      <c r="X47" s="19" t="str">
        <f ca="1">OFFSET(EnumRes!$A$3,COLUMN()-12,0)&amp;"|5|10|100"</f>
        <v>CRT_M|5|10|100</v>
      </c>
      <c r="Y47" s="19" t="str">
        <f ca="1">OFFSET(EnumRes!$A$3,COLUMN()-12,0)&amp;"|5|10|100"</f>
        <v>DEF|5|10|100</v>
      </c>
      <c r="Z47" s="19" t="str">
        <f ca="1">OFFSET(EnumRes!$A$3,COLUMN()-12,0)&amp;"|5|10|100"</f>
        <v>PRT|5|10|100</v>
      </c>
      <c r="AA47" s="19" t="str">
        <f ca="1">OFFSET(EnumRes!$A$3,COLUMN()-12,0)&amp;"|5|10|100"</f>
        <v>PRT_I|5|10|100</v>
      </c>
      <c r="AB47" s="19" t="str">
        <f ca="1">OFFSET(EnumRes!$A$3,COLUMN()-12,0)&amp;"|5|10|100"</f>
        <v>ATK|5|10|100</v>
      </c>
      <c r="AC47" s="19" t="str">
        <f ca="1">OFFSET(EnumRes!$A$3,COLUMN()-12,0)&amp;"|5|10|100"</f>
        <v>MAGATK|5|10|100</v>
      </c>
      <c r="AD47" s="19" t="str">
        <f ca="1">OFFSET(EnumRes!$A$3,COLUMN()-12,0)&amp;"|5|10|100"</f>
        <v>GODCHS|5|10|100</v>
      </c>
      <c r="AE47" s="19" t="str">
        <f ca="1">OFFSET(EnumRes!$A$3,COLUMN()-12,0)&amp;"|5|10|100"</f>
        <v>SKLCHS|5|10|100</v>
      </c>
    </row>
    <row r="48" spans="1:31" x14ac:dyDescent="0.3">
      <c r="A48" s="16">
        <v>1045</v>
      </c>
      <c r="B48" s="17" t="s">
        <v>231</v>
      </c>
      <c r="C48" s="16" t="s">
        <v>284</v>
      </c>
      <c r="D48" s="16" t="s">
        <v>231</v>
      </c>
      <c r="E48" s="18" t="s">
        <v>359</v>
      </c>
      <c r="F48" s="18" t="s">
        <v>201</v>
      </c>
      <c r="G48" s="18">
        <v>2</v>
      </c>
      <c r="H48" s="19" t="s">
        <v>389</v>
      </c>
      <c r="I48" s="19" t="s">
        <v>388</v>
      </c>
      <c r="J48" s="19" t="s">
        <v>390</v>
      </c>
      <c r="K48" s="19" t="s">
        <v>391</v>
      </c>
      <c r="L48" s="16">
        <v>2</v>
      </c>
      <c r="M48" s="19" t="str">
        <f ca="1">OFFSET(EnumRes!$A$3,COLUMN()-12,0)&amp;"|5|10|100"</f>
        <v>STR|5|10|100</v>
      </c>
      <c r="N48" s="19" t="str">
        <f ca="1">OFFSET(EnumRes!$A$3,COLUMN()-12,0)&amp;"|5|10|100"</f>
        <v>DEX|5|10|100</v>
      </c>
      <c r="O48" s="19" t="str">
        <f ca="1">OFFSET(EnumRes!$A$3,COLUMN()-12,0)&amp;"|5|10|100"</f>
        <v>INT|5|10|100</v>
      </c>
      <c r="P48" s="19" t="str">
        <f ca="1">OFFSET(EnumRes!$A$3,COLUMN()-12,0)&amp;"|5|10|100"</f>
        <v>WILL|5|10|100</v>
      </c>
      <c r="Q48" s="19" t="str">
        <f ca="1">OFFSET(EnumRes!$A$3,COLUMN()-12,0)&amp;"|5|10|100"</f>
        <v>LUCK|5|10|100</v>
      </c>
      <c r="R48" s="19" t="str">
        <f ca="1">OFFSET(EnumRes!$A$3,COLUMN()-12,0)&amp;"|5|10|100"</f>
        <v>HP|5|10|100</v>
      </c>
      <c r="S48" s="19" t="str">
        <f ca="1">OFFSET(EnumRes!$A$3,COLUMN()-12,0)&amp;"|5|10|100"</f>
        <v>MP|5|10|100</v>
      </c>
      <c r="T48" s="19" t="str">
        <f ca="1">OFFSET(EnumRes!$A$3,COLUMN()-12,0)&amp;"|5|10|100"</f>
        <v>MINATK|5|10|100</v>
      </c>
      <c r="U48" s="19" t="str">
        <f ca="1">OFFSET(EnumRes!$A$3,COLUMN()-12,0)&amp;"|5|10|100"</f>
        <v>MAXATK|5|10|100</v>
      </c>
      <c r="V48" s="19" t="str">
        <f ca="1">OFFSET(EnumRes!$A$3,COLUMN()-12,0)&amp;"|5|10|100"</f>
        <v>BAL|5|10|100</v>
      </c>
      <c r="W48" s="19" t="str">
        <f ca="1">OFFSET(EnumRes!$A$3,COLUMN()-12,0)&amp;"|5|10|100"</f>
        <v>CRT|5|10|100</v>
      </c>
      <c r="X48" s="19" t="str">
        <f ca="1">OFFSET(EnumRes!$A$3,COLUMN()-12,0)&amp;"|5|10|100"</f>
        <v>CRT_M|5|10|100</v>
      </c>
      <c r="Y48" s="19" t="str">
        <f ca="1">OFFSET(EnumRes!$A$3,COLUMN()-12,0)&amp;"|5|10|100"</f>
        <v>DEF|5|10|100</v>
      </c>
      <c r="Z48" s="19" t="str">
        <f ca="1">OFFSET(EnumRes!$A$3,COLUMN()-12,0)&amp;"|5|10|100"</f>
        <v>PRT|5|10|100</v>
      </c>
      <c r="AA48" s="19" t="str">
        <f ca="1">OFFSET(EnumRes!$A$3,COLUMN()-12,0)&amp;"|5|10|100"</f>
        <v>PRT_I|5|10|100</v>
      </c>
      <c r="AB48" s="19" t="str">
        <f ca="1">OFFSET(EnumRes!$A$3,COLUMN()-12,0)&amp;"|5|10|100"</f>
        <v>ATK|5|10|100</v>
      </c>
      <c r="AC48" s="19" t="str">
        <f ca="1">OFFSET(EnumRes!$A$3,COLUMN()-12,0)&amp;"|5|10|100"</f>
        <v>MAGATK|5|10|100</v>
      </c>
      <c r="AD48" s="19" t="str">
        <f ca="1">OFFSET(EnumRes!$A$3,COLUMN()-12,0)&amp;"|5|10|100"</f>
        <v>GODCHS|5|10|100</v>
      </c>
      <c r="AE48" s="19" t="str">
        <f ca="1">OFFSET(EnumRes!$A$3,COLUMN()-12,0)&amp;"|5|10|100"</f>
        <v>SKLCHS|5|10|100</v>
      </c>
    </row>
    <row r="49" spans="1:31" x14ac:dyDescent="0.3">
      <c r="A49" s="16">
        <v>1046</v>
      </c>
      <c r="B49" s="17" t="s">
        <v>233</v>
      </c>
      <c r="C49" s="16" t="s">
        <v>284</v>
      </c>
      <c r="D49" s="16" t="s">
        <v>233</v>
      </c>
      <c r="E49" s="18" t="s">
        <v>360</v>
      </c>
      <c r="F49" s="18" t="s">
        <v>201</v>
      </c>
      <c r="G49" s="18">
        <v>2</v>
      </c>
      <c r="H49" s="19" t="s">
        <v>389</v>
      </c>
      <c r="I49" s="19" t="s">
        <v>388</v>
      </c>
      <c r="J49" s="19" t="s">
        <v>390</v>
      </c>
      <c r="K49" s="19" t="s">
        <v>391</v>
      </c>
      <c r="L49" s="16">
        <v>2</v>
      </c>
      <c r="M49" s="19" t="str">
        <f ca="1">OFFSET(EnumRes!$A$3,COLUMN()-12,0)&amp;"|5|10|100"</f>
        <v>STR|5|10|100</v>
      </c>
      <c r="N49" s="19" t="str">
        <f ca="1">OFFSET(EnumRes!$A$3,COLUMN()-12,0)&amp;"|5|10|100"</f>
        <v>DEX|5|10|100</v>
      </c>
      <c r="O49" s="19" t="str">
        <f ca="1">OFFSET(EnumRes!$A$3,COLUMN()-12,0)&amp;"|5|10|100"</f>
        <v>INT|5|10|100</v>
      </c>
      <c r="P49" s="19" t="str">
        <f ca="1">OFFSET(EnumRes!$A$3,COLUMN()-12,0)&amp;"|5|10|100"</f>
        <v>WILL|5|10|100</v>
      </c>
      <c r="Q49" s="19" t="str">
        <f ca="1">OFFSET(EnumRes!$A$3,COLUMN()-12,0)&amp;"|5|10|100"</f>
        <v>LUCK|5|10|100</v>
      </c>
      <c r="R49" s="19" t="str">
        <f ca="1">OFFSET(EnumRes!$A$3,COLUMN()-12,0)&amp;"|5|10|100"</f>
        <v>HP|5|10|100</v>
      </c>
      <c r="S49" s="19" t="str">
        <f ca="1">OFFSET(EnumRes!$A$3,COLUMN()-12,0)&amp;"|5|10|100"</f>
        <v>MP|5|10|100</v>
      </c>
      <c r="T49" s="19" t="str">
        <f ca="1">OFFSET(EnumRes!$A$3,COLUMN()-12,0)&amp;"|5|10|100"</f>
        <v>MINATK|5|10|100</v>
      </c>
      <c r="U49" s="19" t="str">
        <f ca="1">OFFSET(EnumRes!$A$3,COLUMN()-12,0)&amp;"|5|10|100"</f>
        <v>MAXATK|5|10|100</v>
      </c>
      <c r="V49" s="19" t="str">
        <f ca="1">OFFSET(EnumRes!$A$3,COLUMN()-12,0)&amp;"|5|10|100"</f>
        <v>BAL|5|10|100</v>
      </c>
      <c r="W49" s="19" t="str">
        <f ca="1">OFFSET(EnumRes!$A$3,COLUMN()-12,0)&amp;"|5|10|100"</f>
        <v>CRT|5|10|100</v>
      </c>
      <c r="X49" s="19" t="str">
        <f ca="1">OFFSET(EnumRes!$A$3,COLUMN()-12,0)&amp;"|5|10|100"</f>
        <v>CRT_M|5|10|100</v>
      </c>
      <c r="Y49" s="19" t="str">
        <f ca="1">OFFSET(EnumRes!$A$3,COLUMN()-12,0)&amp;"|5|10|100"</f>
        <v>DEF|5|10|100</v>
      </c>
      <c r="Z49" s="19" t="str">
        <f ca="1">OFFSET(EnumRes!$A$3,COLUMN()-12,0)&amp;"|5|10|100"</f>
        <v>PRT|5|10|100</v>
      </c>
      <c r="AA49" s="19" t="str">
        <f ca="1">OFFSET(EnumRes!$A$3,COLUMN()-12,0)&amp;"|5|10|100"</f>
        <v>PRT_I|5|10|100</v>
      </c>
      <c r="AB49" s="19" t="str">
        <f ca="1">OFFSET(EnumRes!$A$3,COLUMN()-12,0)&amp;"|5|10|100"</f>
        <v>ATK|5|10|100</v>
      </c>
      <c r="AC49" s="19" t="str">
        <f ca="1">OFFSET(EnumRes!$A$3,COLUMN()-12,0)&amp;"|5|10|100"</f>
        <v>MAGATK|5|10|100</v>
      </c>
      <c r="AD49" s="19" t="str">
        <f ca="1">OFFSET(EnumRes!$A$3,COLUMN()-12,0)&amp;"|5|10|100"</f>
        <v>GODCHS|5|10|100</v>
      </c>
      <c r="AE49" s="19" t="str">
        <f ca="1">OFFSET(EnumRes!$A$3,COLUMN()-12,0)&amp;"|5|10|100"</f>
        <v>SKLCHS|5|10|100</v>
      </c>
    </row>
    <row r="50" spans="1:31" x14ac:dyDescent="0.3">
      <c r="A50" s="16">
        <v>1047</v>
      </c>
      <c r="B50" s="17" t="s">
        <v>285</v>
      </c>
      <c r="C50" s="16" t="s">
        <v>284</v>
      </c>
      <c r="D50" s="16" t="s">
        <v>285</v>
      </c>
      <c r="E50" s="18" t="s">
        <v>352</v>
      </c>
      <c r="F50" s="18" t="s">
        <v>201</v>
      </c>
      <c r="G50" s="18">
        <v>2</v>
      </c>
      <c r="H50" s="19" t="s">
        <v>389</v>
      </c>
      <c r="I50" s="19" t="s">
        <v>388</v>
      </c>
      <c r="J50" s="19" t="s">
        <v>391</v>
      </c>
      <c r="K50" s="19" t="s">
        <v>377</v>
      </c>
      <c r="L50" s="16">
        <v>2</v>
      </c>
      <c r="M50" s="19" t="str">
        <f ca="1">OFFSET(EnumRes!$A$3,COLUMN()-12,0)&amp;"|5|10|100"</f>
        <v>STR|5|10|100</v>
      </c>
      <c r="N50" s="19" t="str">
        <f ca="1">OFFSET(EnumRes!$A$3,COLUMN()-12,0)&amp;"|5|10|100"</f>
        <v>DEX|5|10|100</v>
      </c>
      <c r="O50" s="19" t="str">
        <f ca="1">OFFSET(EnumRes!$A$3,COLUMN()-12,0)&amp;"|5|10|100"</f>
        <v>INT|5|10|100</v>
      </c>
      <c r="P50" s="19" t="str">
        <f ca="1">OFFSET(EnumRes!$A$3,COLUMN()-12,0)&amp;"|5|10|100"</f>
        <v>WILL|5|10|100</v>
      </c>
      <c r="Q50" s="19" t="str">
        <f ca="1">OFFSET(EnumRes!$A$3,COLUMN()-12,0)&amp;"|5|10|100"</f>
        <v>LUCK|5|10|100</v>
      </c>
      <c r="R50" s="19" t="str">
        <f ca="1">OFFSET(EnumRes!$A$3,COLUMN()-12,0)&amp;"|5|10|100"</f>
        <v>HP|5|10|100</v>
      </c>
      <c r="S50" s="19" t="str">
        <f ca="1">OFFSET(EnumRes!$A$3,COLUMN()-12,0)&amp;"|5|10|100"</f>
        <v>MP|5|10|100</v>
      </c>
      <c r="T50" s="19" t="str">
        <f ca="1">OFFSET(EnumRes!$A$3,COLUMN()-12,0)&amp;"|5|10|100"</f>
        <v>MINATK|5|10|100</v>
      </c>
      <c r="U50" s="19" t="str">
        <f ca="1">OFFSET(EnumRes!$A$3,COLUMN()-12,0)&amp;"|5|10|100"</f>
        <v>MAXATK|5|10|100</v>
      </c>
      <c r="V50" s="19" t="str">
        <f ca="1">OFFSET(EnumRes!$A$3,COLUMN()-12,0)&amp;"|5|10|100"</f>
        <v>BAL|5|10|100</v>
      </c>
      <c r="W50" s="19" t="str">
        <f ca="1">OFFSET(EnumRes!$A$3,COLUMN()-12,0)&amp;"|5|10|100"</f>
        <v>CRT|5|10|100</v>
      </c>
      <c r="X50" s="19" t="str">
        <f ca="1">OFFSET(EnumRes!$A$3,COLUMN()-12,0)&amp;"|5|10|100"</f>
        <v>CRT_M|5|10|100</v>
      </c>
      <c r="Y50" s="19" t="str">
        <f ca="1">OFFSET(EnumRes!$A$3,COLUMN()-12,0)&amp;"|5|10|100"</f>
        <v>DEF|5|10|100</v>
      </c>
      <c r="Z50" s="19" t="str">
        <f ca="1">OFFSET(EnumRes!$A$3,COLUMN()-12,0)&amp;"|5|10|100"</f>
        <v>PRT|5|10|100</v>
      </c>
      <c r="AA50" s="19" t="str">
        <f ca="1">OFFSET(EnumRes!$A$3,COLUMN()-12,0)&amp;"|5|10|100"</f>
        <v>PRT_I|5|10|100</v>
      </c>
      <c r="AB50" s="19" t="str">
        <f ca="1">OFFSET(EnumRes!$A$3,COLUMN()-12,0)&amp;"|5|10|100"</f>
        <v>ATK|5|10|100</v>
      </c>
      <c r="AC50" s="19" t="str">
        <f ca="1">OFFSET(EnumRes!$A$3,COLUMN()-12,0)&amp;"|5|10|100"</f>
        <v>MAGATK|5|10|100</v>
      </c>
      <c r="AD50" s="19" t="str">
        <f ca="1">OFFSET(EnumRes!$A$3,COLUMN()-12,0)&amp;"|5|10|100"</f>
        <v>GODCHS|5|10|100</v>
      </c>
      <c r="AE50" s="19" t="str">
        <f ca="1">OFFSET(EnumRes!$A$3,COLUMN()-12,0)&amp;"|5|10|100"</f>
        <v>SKLCHS|5|10|100</v>
      </c>
    </row>
    <row r="51" spans="1:31" x14ac:dyDescent="0.3">
      <c r="A51" s="16">
        <v>1048</v>
      </c>
      <c r="B51" s="17" t="s">
        <v>286</v>
      </c>
      <c r="C51" s="16" t="s">
        <v>284</v>
      </c>
      <c r="D51" s="16" t="s">
        <v>286</v>
      </c>
      <c r="E51" s="18" t="s">
        <v>352</v>
      </c>
      <c r="F51" s="18" t="s">
        <v>201</v>
      </c>
      <c r="G51" s="18">
        <v>2</v>
      </c>
      <c r="H51" s="19" t="s">
        <v>392</v>
      </c>
      <c r="I51" s="19" t="s">
        <v>393</v>
      </c>
      <c r="J51" s="19" t="s">
        <v>377</v>
      </c>
      <c r="K51" s="19" t="s">
        <v>377</v>
      </c>
      <c r="L51" s="16">
        <v>2</v>
      </c>
      <c r="M51" s="19" t="str">
        <f ca="1">OFFSET(EnumRes!$A$3,COLUMN()-12,0)&amp;"|5|10|100"</f>
        <v>STR|5|10|100</v>
      </c>
      <c r="N51" s="19" t="str">
        <f ca="1">OFFSET(EnumRes!$A$3,COLUMN()-12,0)&amp;"|5|10|100"</f>
        <v>DEX|5|10|100</v>
      </c>
      <c r="O51" s="19" t="str">
        <f ca="1">OFFSET(EnumRes!$A$3,COLUMN()-12,0)&amp;"|5|10|100"</f>
        <v>INT|5|10|100</v>
      </c>
      <c r="P51" s="19" t="str">
        <f ca="1">OFFSET(EnumRes!$A$3,COLUMN()-12,0)&amp;"|5|10|100"</f>
        <v>WILL|5|10|100</v>
      </c>
      <c r="Q51" s="19" t="str">
        <f ca="1">OFFSET(EnumRes!$A$3,COLUMN()-12,0)&amp;"|5|10|100"</f>
        <v>LUCK|5|10|100</v>
      </c>
      <c r="R51" s="19" t="str">
        <f ca="1">OFFSET(EnumRes!$A$3,COLUMN()-12,0)&amp;"|5|10|100"</f>
        <v>HP|5|10|100</v>
      </c>
      <c r="S51" s="19" t="str">
        <f ca="1">OFFSET(EnumRes!$A$3,COLUMN()-12,0)&amp;"|5|10|100"</f>
        <v>MP|5|10|100</v>
      </c>
      <c r="T51" s="19" t="str">
        <f ca="1">OFFSET(EnumRes!$A$3,COLUMN()-12,0)&amp;"|5|10|100"</f>
        <v>MINATK|5|10|100</v>
      </c>
      <c r="U51" s="19" t="str">
        <f ca="1">OFFSET(EnumRes!$A$3,COLUMN()-12,0)&amp;"|5|10|100"</f>
        <v>MAXATK|5|10|100</v>
      </c>
      <c r="V51" s="19" t="str">
        <f ca="1">OFFSET(EnumRes!$A$3,COLUMN()-12,0)&amp;"|5|10|100"</f>
        <v>BAL|5|10|100</v>
      </c>
      <c r="W51" s="19" t="str">
        <f ca="1">OFFSET(EnumRes!$A$3,COLUMN()-12,0)&amp;"|5|10|100"</f>
        <v>CRT|5|10|100</v>
      </c>
      <c r="X51" s="19" t="str">
        <f ca="1">OFFSET(EnumRes!$A$3,COLUMN()-12,0)&amp;"|5|10|100"</f>
        <v>CRT_M|5|10|100</v>
      </c>
      <c r="Y51" s="19" t="str">
        <f ca="1">OFFSET(EnumRes!$A$3,COLUMN()-12,0)&amp;"|5|10|100"</f>
        <v>DEF|5|10|100</v>
      </c>
      <c r="Z51" s="19" t="str">
        <f ca="1">OFFSET(EnumRes!$A$3,COLUMN()-12,0)&amp;"|5|10|100"</f>
        <v>PRT|5|10|100</v>
      </c>
      <c r="AA51" s="19" t="str">
        <f ca="1">OFFSET(EnumRes!$A$3,COLUMN()-12,0)&amp;"|5|10|100"</f>
        <v>PRT_I|5|10|100</v>
      </c>
      <c r="AB51" s="19" t="str">
        <f ca="1">OFFSET(EnumRes!$A$3,COLUMN()-12,0)&amp;"|5|10|100"</f>
        <v>ATK|5|10|100</v>
      </c>
      <c r="AC51" s="19" t="str">
        <f ca="1">OFFSET(EnumRes!$A$3,COLUMN()-12,0)&amp;"|5|10|100"</f>
        <v>MAGATK|5|10|100</v>
      </c>
      <c r="AD51" s="19" t="str">
        <f ca="1">OFFSET(EnumRes!$A$3,COLUMN()-12,0)&amp;"|5|10|100"</f>
        <v>GODCHS|5|10|100</v>
      </c>
      <c r="AE51" s="19" t="str">
        <f ca="1">OFFSET(EnumRes!$A$3,COLUMN()-12,0)&amp;"|5|10|100"</f>
        <v>SKLCHS|5|10|100</v>
      </c>
    </row>
    <row r="52" spans="1:31" x14ac:dyDescent="0.3">
      <c r="A52" s="16">
        <v>1049</v>
      </c>
      <c r="B52" s="17" t="s">
        <v>287</v>
      </c>
      <c r="C52" s="16" t="s">
        <v>284</v>
      </c>
      <c r="D52" s="16">
        <v>9</v>
      </c>
      <c r="E52" s="18">
        <v>0</v>
      </c>
      <c r="F52" s="18">
        <v>3</v>
      </c>
      <c r="G52" s="18">
        <v>2</v>
      </c>
      <c r="H52" s="19" t="s">
        <v>393</v>
      </c>
      <c r="I52" s="19" t="s">
        <v>394</v>
      </c>
      <c r="J52" s="19" t="s">
        <v>377</v>
      </c>
      <c r="K52" s="19" t="s">
        <v>377</v>
      </c>
      <c r="L52" s="16">
        <v>2</v>
      </c>
      <c r="M52" s="19" t="str">
        <f ca="1">OFFSET(EnumRes!$A$3,COLUMN()-12,0)&amp;"|5|10|100"</f>
        <v>STR|5|10|100</v>
      </c>
      <c r="N52" s="19" t="str">
        <f ca="1">OFFSET(EnumRes!$A$3,COLUMN()-12,0)&amp;"|5|10|100"</f>
        <v>DEX|5|10|100</v>
      </c>
      <c r="O52" s="19" t="str">
        <f ca="1">OFFSET(EnumRes!$A$3,COLUMN()-12,0)&amp;"|5|10|100"</f>
        <v>INT|5|10|100</v>
      </c>
      <c r="P52" s="19" t="str">
        <f ca="1">OFFSET(EnumRes!$A$3,COLUMN()-12,0)&amp;"|5|10|100"</f>
        <v>WILL|5|10|100</v>
      </c>
      <c r="Q52" s="19" t="str">
        <f ca="1">OFFSET(EnumRes!$A$3,COLUMN()-12,0)&amp;"|5|10|100"</f>
        <v>LUCK|5|10|100</v>
      </c>
      <c r="R52" s="19" t="str">
        <f ca="1">OFFSET(EnumRes!$A$3,COLUMN()-12,0)&amp;"|5|10|100"</f>
        <v>HP|5|10|100</v>
      </c>
      <c r="S52" s="19" t="str">
        <f ca="1">OFFSET(EnumRes!$A$3,COLUMN()-12,0)&amp;"|5|10|100"</f>
        <v>MP|5|10|100</v>
      </c>
      <c r="T52" s="19" t="str">
        <f ca="1">OFFSET(EnumRes!$A$3,COLUMN()-12,0)&amp;"|5|10|100"</f>
        <v>MINATK|5|10|100</v>
      </c>
      <c r="U52" s="19" t="str">
        <f ca="1">OFFSET(EnumRes!$A$3,COLUMN()-12,0)&amp;"|5|10|100"</f>
        <v>MAXATK|5|10|100</v>
      </c>
      <c r="V52" s="19" t="str">
        <f ca="1">OFFSET(EnumRes!$A$3,COLUMN()-12,0)&amp;"|5|10|100"</f>
        <v>BAL|5|10|100</v>
      </c>
      <c r="W52" s="19" t="str">
        <f ca="1">OFFSET(EnumRes!$A$3,COLUMN()-12,0)&amp;"|5|10|100"</f>
        <v>CRT|5|10|100</v>
      </c>
      <c r="X52" s="19" t="str">
        <f ca="1">OFFSET(EnumRes!$A$3,COLUMN()-12,0)&amp;"|5|10|100"</f>
        <v>CRT_M|5|10|100</v>
      </c>
      <c r="Y52" s="19" t="str">
        <f ca="1">OFFSET(EnumRes!$A$3,COLUMN()-12,0)&amp;"|5|10|100"</f>
        <v>DEF|5|10|100</v>
      </c>
      <c r="Z52" s="19" t="str">
        <f ca="1">OFFSET(EnumRes!$A$3,COLUMN()-12,0)&amp;"|5|10|100"</f>
        <v>PRT|5|10|100</v>
      </c>
      <c r="AA52" s="19" t="str">
        <f ca="1">OFFSET(EnumRes!$A$3,COLUMN()-12,0)&amp;"|5|10|100"</f>
        <v>PRT_I|5|10|100</v>
      </c>
      <c r="AB52" s="19" t="str">
        <f ca="1">OFFSET(EnumRes!$A$3,COLUMN()-12,0)&amp;"|5|10|100"</f>
        <v>ATK|5|10|100</v>
      </c>
      <c r="AC52" s="19" t="str">
        <f ca="1">OFFSET(EnumRes!$A$3,COLUMN()-12,0)&amp;"|5|10|100"</f>
        <v>MAGATK|5|10|100</v>
      </c>
      <c r="AD52" s="19" t="str">
        <f ca="1">OFFSET(EnumRes!$A$3,COLUMN()-12,0)&amp;"|5|10|100"</f>
        <v>GODCHS|5|10|100</v>
      </c>
      <c r="AE52" s="19" t="str">
        <f ca="1">OFFSET(EnumRes!$A$3,COLUMN()-12,0)&amp;"|5|10|100"</f>
        <v>SKLCHS|5|10|100</v>
      </c>
    </row>
    <row r="53" spans="1:31" x14ac:dyDescent="0.3">
      <c r="A53" s="16">
        <v>1050</v>
      </c>
      <c r="B53" s="17" t="s">
        <v>290</v>
      </c>
      <c r="C53" s="16" t="s">
        <v>284</v>
      </c>
      <c r="D53" s="16">
        <v>10</v>
      </c>
      <c r="E53" s="18">
        <v>0</v>
      </c>
      <c r="F53" s="18">
        <v>3</v>
      </c>
      <c r="G53" s="18">
        <v>2</v>
      </c>
      <c r="H53" s="19" t="s">
        <v>393</v>
      </c>
      <c r="I53" s="19" t="s">
        <v>394</v>
      </c>
      <c r="J53" s="19" t="s">
        <v>377</v>
      </c>
      <c r="K53" s="19" t="s">
        <v>377</v>
      </c>
      <c r="L53" s="16">
        <v>2</v>
      </c>
      <c r="M53" s="19" t="str">
        <f ca="1">OFFSET(EnumRes!$A$3,COLUMN()-12,0)&amp;"|5|10|100"</f>
        <v>STR|5|10|100</v>
      </c>
      <c r="N53" s="19" t="str">
        <f ca="1">OFFSET(EnumRes!$A$3,COLUMN()-12,0)&amp;"|5|10|100"</f>
        <v>DEX|5|10|100</v>
      </c>
      <c r="O53" s="19" t="str">
        <f ca="1">OFFSET(EnumRes!$A$3,COLUMN()-12,0)&amp;"|5|10|100"</f>
        <v>INT|5|10|100</v>
      </c>
      <c r="P53" s="19" t="str">
        <f ca="1">OFFSET(EnumRes!$A$3,COLUMN()-12,0)&amp;"|5|10|100"</f>
        <v>WILL|5|10|100</v>
      </c>
      <c r="Q53" s="19" t="str">
        <f ca="1">OFFSET(EnumRes!$A$3,COLUMN()-12,0)&amp;"|5|10|100"</f>
        <v>LUCK|5|10|100</v>
      </c>
      <c r="R53" s="19" t="str">
        <f ca="1">OFFSET(EnumRes!$A$3,COLUMN()-12,0)&amp;"|5|10|100"</f>
        <v>HP|5|10|100</v>
      </c>
      <c r="S53" s="19" t="str">
        <f ca="1">OFFSET(EnumRes!$A$3,COLUMN()-12,0)&amp;"|5|10|100"</f>
        <v>MP|5|10|100</v>
      </c>
      <c r="T53" s="19" t="str">
        <f ca="1">OFFSET(EnumRes!$A$3,COLUMN()-12,0)&amp;"|5|10|100"</f>
        <v>MINATK|5|10|100</v>
      </c>
      <c r="U53" s="19" t="str">
        <f ca="1">OFFSET(EnumRes!$A$3,COLUMN()-12,0)&amp;"|5|10|100"</f>
        <v>MAXATK|5|10|100</v>
      </c>
      <c r="V53" s="19" t="str">
        <f ca="1">OFFSET(EnumRes!$A$3,COLUMN()-12,0)&amp;"|5|10|100"</f>
        <v>BAL|5|10|100</v>
      </c>
      <c r="W53" s="19" t="str">
        <f ca="1">OFFSET(EnumRes!$A$3,COLUMN()-12,0)&amp;"|5|10|100"</f>
        <v>CRT|5|10|100</v>
      </c>
      <c r="X53" s="19" t="str">
        <f ca="1">OFFSET(EnumRes!$A$3,COLUMN()-12,0)&amp;"|5|10|100"</f>
        <v>CRT_M|5|10|100</v>
      </c>
      <c r="Y53" s="19" t="str">
        <f ca="1">OFFSET(EnumRes!$A$3,COLUMN()-12,0)&amp;"|5|10|100"</f>
        <v>DEF|5|10|100</v>
      </c>
      <c r="Z53" s="19" t="str">
        <f ca="1">OFFSET(EnumRes!$A$3,COLUMN()-12,0)&amp;"|5|10|100"</f>
        <v>PRT|5|10|100</v>
      </c>
      <c r="AA53" s="19" t="str">
        <f ca="1">OFFSET(EnumRes!$A$3,COLUMN()-12,0)&amp;"|5|10|100"</f>
        <v>PRT_I|5|10|100</v>
      </c>
      <c r="AB53" s="19" t="str">
        <f ca="1">OFFSET(EnumRes!$A$3,COLUMN()-12,0)&amp;"|5|10|100"</f>
        <v>ATK|5|10|100</v>
      </c>
      <c r="AC53" s="19" t="str">
        <f ca="1">OFFSET(EnumRes!$A$3,COLUMN()-12,0)&amp;"|5|10|100"</f>
        <v>MAGATK|5|10|100</v>
      </c>
      <c r="AD53" s="19" t="str">
        <f ca="1">OFFSET(EnumRes!$A$3,COLUMN()-12,0)&amp;"|5|10|100"</f>
        <v>GODCHS|5|10|100</v>
      </c>
      <c r="AE53" s="19" t="str">
        <f ca="1">OFFSET(EnumRes!$A$3,COLUMN()-12,0)&amp;"|5|10|100"</f>
        <v>SKLCHS|5|10|100</v>
      </c>
    </row>
    <row r="54" spans="1:31" x14ac:dyDescent="0.3">
      <c r="A54" s="16">
        <v>1051</v>
      </c>
      <c r="B54" s="17" t="s">
        <v>292</v>
      </c>
      <c r="C54" s="16" t="s">
        <v>284</v>
      </c>
      <c r="D54" s="16">
        <v>11</v>
      </c>
      <c r="E54" s="18">
        <v>0</v>
      </c>
      <c r="F54" s="18">
        <v>3</v>
      </c>
      <c r="G54" s="18">
        <v>2</v>
      </c>
      <c r="H54" s="19" t="s">
        <v>393</v>
      </c>
      <c r="I54" s="19" t="s">
        <v>394</v>
      </c>
      <c r="J54" s="19" t="s">
        <v>377</v>
      </c>
      <c r="K54" s="19" t="s">
        <v>377</v>
      </c>
      <c r="L54" s="16">
        <v>2</v>
      </c>
      <c r="M54" s="19" t="str">
        <f ca="1">OFFSET(EnumRes!$A$3,COLUMN()-12,0)&amp;"|5|10|100"</f>
        <v>STR|5|10|100</v>
      </c>
      <c r="N54" s="19" t="str">
        <f ca="1">OFFSET(EnumRes!$A$3,COLUMN()-12,0)&amp;"|5|10|100"</f>
        <v>DEX|5|10|100</v>
      </c>
      <c r="O54" s="19" t="str">
        <f ca="1">OFFSET(EnumRes!$A$3,COLUMN()-12,0)&amp;"|5|10|100"</f>
        <v>INT|5|10|100</v>
      </c>
      <c r="P54" s="19" t="str">
        <f ca="1">OFFSET(EnumRes!$A$3,COLUMN()-12,0)&amp;"|5|10|100"</f>
        <v>WILL|5|10|100</v>
      </c>
      <c r="Q54" s="19" t="str">
        <f ca="1">OFFSET(EnumRes!$A$3,COLUMN()-12,0)&amp;"|5|10|100"</f>
        <v>LUCK|5|10|100</v>
      </c>
      <c r="R54" s="19" t="str">
        <f ca="1">OFFSET(EnumRes!$A$3,COLUMN()-12,0)&amp;"|5|10|100"</f>
        <v>HP|5|10|100</v>
      </c>
      <c r="S54" s="19" t="str">
        <f ca="1">OFFSET(EnumRes!$A$3,COLUMN()-12,0)&amp;"|5|10|100"</f>
        <v>MP|5|10|100</v>
      </c>
      <c r="T54" s="19" t="str">
        <f ca="1">OFFSET(EnumRes!$A$3,COLUMN()-12,0)&amp;"|5|10|100"</f>
        <v>MINATK|5|10|100</v>
      </c>
      <c r="U54" s="19" t="str">
        <f ca="1">OFFSET(EnumRes!$A$3,COLUMN()-12,0)&amp;"|5|10|100"</f>
        <v>MAXATK|5|10|100</v>
      </c>
      <c r="V54" s="19" t="str">
        <f ca="1">OFFSET(EnumRes!$A$3,COLUMN()-12,0)&amp;"|5|10|100"</f>
        <v>BAL|5|10|100</v>
      </c>
      <c r="W54" s="19" t="str">
        <f ca="1">OFFSET(EnumRes!$A$3,COLUMN()-12,0)&amp;"|5|10|100"</f>
        <v>CRT|5|10|100</v>
      </c>
      <c r="X54" s="19" t="str">
        <f ca="1">OFFSET(EnumRes!$A$3,COLUMN()-12,0)&amp;"|5|10|100"</f>
        <v>CRT_M|5|10|100</v>
      </c>
      <c r="Y54" s="19" t="str">
        <f ca="1">OFFSET(EnumRes!$A$3,COLUMN()-12,0)&amp;"|5|10|100"</f>
        <v>DEF|5|10|100</v>
      </c>
      <c r="Z54" s="19" t="str">
        <f ca="1">OFFSET(EnumRes!$A$3,COLUMN()-12,0)&amp;"|5|10|100"</f>
        <v>PRT|5|10|100</v>
      </c>
      <c r="AA54" s="19" t="str">
        <f ca="1">OFFSET(EnumRes!$A$3,COLUMN()-12,0)&amp;"|5|10|100"</f>
        <v>PRT_I|5|10|100</v>
      </c>
      <c r="AB54" s="19" t="str">
        <f ca="1">OFFSET(EnumRes!$A$3,COLUMN()-12,0)&amp;"|5|10|100"</f>
        <v>ATK|5|10|100</v>
      </c>
      <c r="AC54" s="19" t="str">
        <f ca="1">OFFSET(EnumRes!$A$3,COLUMN()-12,0)&amp;"|5|10|100"</f>
        <v>MAGATK|5|10|100</v>
      </c>
      <c r="AD54" s="19" t="str">
        <f ca="1">OFFSET(EnumRes!$A$3,COLUMN()-12,0)&amp;"|5|10|100"</f>
        <v>GODCHS|5|10|100</v>
      </c>
      <c r="AE54" s="19" t="str">
        <f ca="1">OFFSET(EnumRes!$A$3,COLUMN()-12,0)&amp;"|5|10|100"</f>
        <v>SKLCHS|5|10|100</v>
      </c>
    </row>
    <row r="55" spans="1:31" x14ac:dyDescent="0.3">
      <c r="A55" s="16">
        <v>1052</v>
      </c>
      <c r="B55" s="17" t="s">
        <v>294</v>
      </c>
      <c r="C55" s="16" t="s">
        <v>284</v>
      </c>
      <c r="D55" s="16">
        <v>12</v>
      </c>
      <c r="E55" s="18">
        <v>0</v>
      </c>
      <c r="F55" s="18">
        <v>3</v>
      </c>
      <c r="G55" s="18">
        <v>2</v>
      </c>
      <c r="H55" s="19" t="s">
        <v>393</v>
      </c>
      <c r="I55" s="19" t="s">
        <v>394</v>
      </c>
      <c r="J55" s="19" t="s">
        <v>377</v>
      </c>
      <c r="K55" s="19" t="s">
        <v>377</v>
      </c>
      <c r="L55" s="16">
        <v>2</v>
      </c>
      <c r="M55" s="19" t="str">
        <f ca="1">OFFSET(EnumRes!$A$3,COLUMN()-12,0)&amp;"|5|10|100"</f>
        <v>STR|5|10|100</v>
      </c>
      <c r="N55" s="19" t="str">
        <f ca="1">OFFSET(EnumRes!$A$3,COLUMN()-12,0)&amp;"|5|10|100"</f>
        <v>DEX|5|10|100</v>
      </c>
      <c r="O55" s="19" t="str">
        <f ca="1">OFFSET(EnumRes!$A$3,COLUMN()-12,0)&amp;"|5|10|100"</f>
        <v>INT|5|10|100</v>
      </c>
      <c r="P55" s="19" t="str">
        <f ca="1">OFFSET(EnumRes!$A$3,COLUMN()-12,0)&amp;"|5|10|100"</f>
        <v>WILL|5|10|100</v>
      </c>
      <c r="Q55" s="19" t="str">
        <f ca="1">OFFSET(EnumRes!$A$3,COLUMN()-12,0)&amp;"|5|10|100"</f>
        <v>LUCK|5|10|100</v>
      </c>
      <c r="R55" s="19" t="str">
        <f ca="1">OFFSET(EnumRes!$A$3,COLUMN()-12,0)&amp;"|5|10|100"</f>
        <v>HP|5|10|100</v>
      </c>
      <c r="S55" s="19" t="str">
        <f ca="1">OFFSET(EnumRes!$A$3,COLUMN()-12,0)&amp;"|5|10|100"</f>
        <v>MP|5|10|100</v>
      </c>
      <c r="T55" s="19" t="str">
        <f ca="1">OFFSET(EnumRes!$A$3,COLUMN()-12,0)&amp;"|5|10|100"</f>
        <v>MINATK|5|10|100</v>
      </c>
      <c r="U55" s="19" t="str">
        <f ca="1">OFFSET(EnumRes!$A$3,COLUMN()-12,0)&amp;"|5|10|100"</f>
        <v>MAXATK|5|10|100</v>
      </c>
      <c r="V55" s="19" t="str">
        <f ca="1">OFFSET(EnumRes!$A$3,COLUMN()-12,0)&amp;"|5|10|100"</f>
        <v>BAL|5|10|100</v>
      </c>
      <c r="W55" s="19" t="str">
        <f ca="1">OFFSET(EnumRes!$A$3,COLUMN()-12,0)&amp;"|5|10|100"</f>
        <v>CRT|5|10|100</v>
      </c>
      <c r="X55" s="19" t="str">
        <f ca="1">OFFSET(EnumRes!$A$3,COLUMN()-12,0)&amp;"|5|10|100"</f>
        <v>CRT_M|5|10|100</v>
      </c>
      <c r="Y55" s="19" t="str">
        <f ca="1">OFFSET(EnumRes!$A$3,COLUMN()-12,0)&amp;"|5|10|100"</f>
        <v>DEF|5|10|100</v>
      </c>
      <c r="Z55" s="19" t="str">
        <f ca="1">OFFSET(EnumRes!$A$3,COLUMN()-12,0)&amp;"|5|10|100"</f>
        <v>PRT|5|10|100</v>
      </c>
      <c r="AA55" s="19" t="str">
        <f ca="1">OFFSET(EnumRes!$A$3,COLUMN()-12,0)&amp;"|5|10|100"</f>
        <v>PRT_I|5|10|100</v>
      </c>
      <c r="AB55" s="19" t="str">
        <f ca="1">OFFSET(EnumRes!$A$3,COLUMN()-12,0)&amp;"|5|10|100"</f>
        <v>ATK|5|10|100</v>
      </c>
      <c r="AC55" s="19" t="str">
        <f ca="1">OFFSET(EnumRes!$A$3,COLUMN()-12,0)&amp;"|5|10|100"</f>
        <v>MAGATK|5|10|100</v>
      </c>
      <c r="AD55" s="19" t="str">
        <f ca="1">OFFSET(EnumRes!$A$3,COLUMN()-12,0)&amp;"|5|10|100"</f>
        <v>GODCHS|5|10|100</v>
      </c>
      <c r="AE55" s="19" t="str">
        <f ca="1">OFFSET(EnumRes!$A$3,COLUMN()-12,0)&amp;"|5|10|100"</f>
        <v>SKLCHS|5|10|100</v>
      </c>
    </row>
    <row r="56" spans="1:31" x14ac:dyDescent="0.3">
      <c r="A56" s="16">
        <v>1053</v>
      </c>
      <c r="B56" s="17" t="s">
        <v>296</v>
      </c>
      <c r="C56" s="16" t="s">
        <v>284</v>
      </c>
      <c r="D56" s="16">
        <v>13</v>
      </c>
      <c r="E56" s="18">
        <v>0</v>
      </c>
      <c r="F56" s="18">
        <v>3</v>
      </c>
      <c r="G56" s="18">
        <v>2</v>
      </c>
      <c r="H56" s="19" t="s">
        <v>393</v>
      </c>
      <c r="I56" s="19" t="s">
        <v>394</v>
      </c>
      <c r="J56" s="19" t="s">
        <v>377</v>
      </c>
      <c r="K56" s="19" t="s">
        <v>377</v>
      </c>
      <c r="L56" s="16">
        <v>2</v>
      </c>
      <c r="M56" s="19" t="str">
        <f ca="1">OFFSET(EnumRes!$A$3,COLUMN()-12,0)&amp;"|5|10|100"</f>
        <v>STR|5|10|100</v>
      </c>
      <c r="N56" s="19" t="str">
        <f ca="1">OFFSET(EnumRes!$A$3,COLUMN()-12,0)&amp;"|5|10|100"</f>
        <v>DEX|5|10|100</v>
      </c>
      <c r="O56" s="19" t="str">
        <f ca="1">OFFSET(EnumRes!$A$3,COLUMN()-12,0)&amp;"|5|10|100"</f>
        <v>INT|5|10|100</v>
      </c>
      <c r="P56" s="19" t="str">
        <f ca="1">OFFSET(EnumRes!$A$3,COLUMN()-12,0)&amp;"|5|10|100"</f>
        <v>WILL|5|10|100</v>
      </c>
      <c r="Q56" s="19" t="str">
        <f ca="1">OFFSET(EnumRes!$A$3,COLUMN()-12,0)&amp;"|5|10|100"</f>
        <v>LUCK|5|10|100</v>
      </c>
      <c r="R56" s="19" t="str">
        <f ca="1">OFFSET(EnumRes!$A$3,COLUMN()-12,0)&amp;"|5|10|100"</f>
        <v>HP|5|10|100</v>
      </c>
      <c r="S56" s="19" t="str">
        <f ca="1">OFFSET(EnumRes!$A$3,COLUMN()-12,0)&amp;"|5|10|100"</f>
        <v>MP|5|10|100</v>
      </c>
      <c r="T56" s="19" t="str">
        <f ca="1">OFFSET(EnumRes!$A$3,COLUMN()-12,0)&amp;"|5|10|100"</f>
        <v>MINATK|5|10|100</v>
      </c>
      <c r="U56" s="19" t="str">
        <f ca="1">OFFSET(EnumRes!$A$3,COLUMN()-12,0)&amp;"|5|10|100"</f>
        <v>MAXATK|5|10|100</v>
      </c>
      <c r="V56" s="19" t="str">
        <f ca="1">OFFSET(EnumRes!$A$3,COLUMN()-12,0)&amp;"|5|10|100"</f>
        <v>BAL|5|10|100</v>
      </c>
      <c r="W56" s="19" t="str">
        <f ca="1">OFFSET(EnumRes!$A$3,COLUMN()-12,0)&amp;"|5|10|100"</f>
        <v>CRT|5|10|100</v>
      </c>
      <c r="X56" s="19" t="str">
        <f ca="1">OFFSET(EnumRes!$A$3,COLUMN()-12,0)&amp;"|5|10|100"</f>
        <v>CRT_M|5|10|100</v>
      </c>
      <c r="Y56" s="19" t="str">
        <f ca="1">OFFSET(EnumRes!$A$3,COLUMN()-12,0)&amp;"|5|10|100"</f>
        <v>DEF|5|10|100</v>
      </c>
      <c r="Z56" s="19" t="str">
        <f ca="1">OFFSET(EnumRes!$A$3,COLUMN()-12,0)&amp;"|5|10|100"</f>
        <v>PRT|5|10|100</v>
      </c>
      <c r="AA56" s="19" t="str">
        <f ca="1">OFFSET(EnumRes!$A$3,COLUMN()-12,0)&amp;"|5|10|100"</f>
        <v>PRT_I|5|10|100</v>
      </c>
      <c r="AB56" s="19" t="str">
        <f ca="1">OFFSET(EnumRes!$A$3,COLUMN()-12,0)&amp;"|5|10|100"</f>
        <v>ATK|5|10|100</v>
      </c>
      <c r="AC56" s="19" t="str">
        <f ca="1">OFFSET(EnumRes!$A$3,COLUMN()-12,0)&amp;"|5|10|100"</f>
        <v>MAGATK|5|10|100</v>
      </c>
      <c r="AD56" s="19" t="str">
        <f ca="1">OFFSET(EnumRes!$A$3,COLUMN()-12,0)&amp;"|5|10|100"</f>
        <v>GODCHS|5|10|100</v>
      </c>
      <c r="AE56" s="19" t="str">
        <f ca="1">OFFSET(EnumRes!$A$3,COLUMN()-12,0)&amp;"|5|10|100"</f>
        <v>SKLCHS|5|10|100</v>
      </c>
    </row>
    <row r="57" spans="1:31" x14ac:dyDescent="0.3">
      <c r="A57" s="16">
        <v>1054</v>
      </c>
      <c r="B57" s="17" t="s">
        <v>298</v>
      </c>
      <c r="C57" s="16" t="s">
        <v>284</v>
      </c>
      <c r="D57" s="16">
        <v>14</v>
      </c>
      <c r="E57" s="18">
        <v>0</v>
      </c>
      <c r="F57" s="18">
        <v>3</v>
      </c>
      <c r="G57" s="18">
        <v>2</v>
      </c>
      <c r="H57" s="19" t="s">
        <v>393</v>
      </c>
      <c r="I57" s="19" t="s">
        <v>394</v>
      </c>
      <c r="J57" s="19" t="s">
        <v>377</v>
      </c>
      <c r="K57" s="19" t="s">
        <v>377</v>
      </c>
      <c r="L57" s="16">
        <v>2</v>
      </c>
      <c r="M57" s="19" t="str">
        <f ca="1">OFFSET(EnumRes!$A$3,COLUMN()-12,0)&amp;"|5|10|100"</f>
        <v>STR|5|10|100</v>
      </c>
      <c r="N57" s="19" t="str">
        <f ca="1">OFFSET(EnumRes!$A$3,COLUMN()-12,0)&amp;"|5|10|100"</f>
        <v>DEX|5|10|100</v>
      </c>
      <c r="O57" s="19" t="str">
        <f ca="1">OFFSET(EnumRes!$A$3,COLUMN()-12,0)&amp;"|5|10|100"</f>
        <v>INT|5|10|100</v>
      </c>
      <c r="P57" s="19" t="str">
        <f ca="1">OFFSET(EnumRes!$A$3,COLUMN()-12,0)&amp;"|5|10|100"</f>
        <v>WILL|5|10|100</v>
      </c>
      <c r="Q57" s="19" t="str">
        <f ca="1">OFFSET(EnumRes!$A$3,COLUMN()-12,0)&amp;"|5|10|100"</f>
        <v>LUCK|5|10|100</v>
      </c>
      <c r="R57" s="19" t="str">
        <f ca="1">OFFSET(EnumRes!$A$3,COLUMN()-12,0)&amp;"|5|10|100"</f>
        <v>HP|5|10|100</v>
      </c>
      <c r="S57" s="19" t="str">
        <f ca="1">OFFSET(EnumRes!$A$3,COLUMN()-12,0)&amp;"|5|10|100"</f>
        <v>MP|5|10|100</v>
      </c>
      <c r="T57" s="19" t="str">
        <f ca="1">OFFSET(EnumRes!$A$3,COLUMN()-12,0)&amp;"|5|10|100"</f>
        <v>MINATK|5|10|100</v>
      </c>
      <c r="U57" s="19" t="str">
        <f ca="1">OFFSET(EnumRes!$A$3,COLUMN()-12,0)&amp;"|5|10|100"</f>
        <v>MAXATK|5|10|100</v>
      </c>
      <c r="V57" s="19" t="str">
        <f ca="1">OFFSET(EnumRes!$A$3,COLUMN()-12,0)&amp;"|5|10|100"</f>
        <v>BAL|5|10|100</v>
      </c>
      <c r="W57" s="19" t="str">
        <f ca="1">OFFSET(EnumRes!$A$3,COLUMN()-12,0)&amp;"|5|10|100"</f>
        <v>CRT|5|10|100</v>
      </c>
      <c r="X57" s="19" t="str">
        <f ca="1">OFFSET(EnumRes!$A$3,COLUMN()-12,0)&amp;"|5|10|100"</f>
        <v>CRT_M|5|10|100</v>
      </c>
      <c r="Y57" s="19" t="str">
        <f ca="1">OFFSET(EnumRes!$A$3,COLUMN()-12,0)&amp;"|5|10|100"</f>
        <v>DEF|5|10|100</v>
      </c>
      <c r="Z57" s="19" t="str">
        <f ca="1">OFFSET(EnumRes!$A$3,COLUMN()-12,0)&amp;"|5|10|100"</f>
        <v>PRT|5|10|100</v>
      </c>
      <c r="AA57" s="19" t="str">
        <f ca="1">OFFSET(EnumRes!$A$3,COLUMN()-12,0)&amp;"|5|10|100"</f>
        <v>PRT_I|5|10|100</v>
      </c>
      <c r="AB57" s="19" t="str">
        <f ca="1">OFFSET(EnumRes!$A$3,COLUMN()-12,0)&amp;"|5|10|100"</f>
        <v>ATK|5|10|100</v>
      </c>
      <c r="AC57" s="19" t="str">
        <f ca="1">OFFSET(EnumRes!$A$3,COLUMN()-12,0)&amp;"|5|10|100"</f>
        <v>MAGATK|5|10|100</v>
      </c>
      <c r="AD57" s="19" t="str">
        <f ca="1">OFFSET(EnumRes!$A$3,COLUMN()-12,0)&amp;"|5|10|100"</f>
        <v>GODCHS|5|10|100</v>
      </c>
      <c r="AE57" s="19" t="str">
        <f ca="1">OFFSET(EnumRes!$A$3,COLUMN()-12,0)&amp;"|5|10|100"</f>
        <v>SKLCHS|5|10|100</v>
      </c>
    </row>
    <row r="58" spans="1:31" x14ac:dyDescent="0.3">
      <c r="A58" s="16">
        <v>1055</v>
      </c>
      <c r="B58" s="17" t="s">
        <v>300</v>
      </c>
      <c r="C58" s="16" t="s">
        <v>284</v>
      </c>
      <c r="D58" s="16">
        <v>15</v>
      </c>
      <c r="E58" s="18">
        <v>0</v>
      </c>
      <c r="F58" s="18">
        <v>3</v>
      </c>
      <c r="G58" s="18">
        <v>2</v>
      </c>
      <c r="H58" s="19" t="s">
        <v>393</v>
      </c>
      <c r="I58" s="19" t="s">
        <v>394</v>
      </c>
      <c r="J58" s="19" t="s">
        <v>377</v>
      </c>
      <c r="K58" s="19" t="s">
        <v>377</v>
      </c>
      <c r="L58" s="16">
        <v>2</v>
      </c>
      <c r="M58" s="19" t="str">
        <f ca="1">OFFSET(EnumRes!$A$3,COLUMN()-12,0)&amp;"|5|10|100"</f>
        <v>STR|5|10|100</v>
      </c>
      <c r="N58" s="19" t="str">
        <f ca="1">OFFSET(EnumRes!$A$3,COLUMN()-12,0)&amp;"|5|10|100"</f>
        <v>DEX|5|10|100</v>
      </c>
      <c r="O58" s="19" t="str">
        <f ca="1">OFFSET(EnumRes!$A$3,COLUMN()-12,0)&amp;"|5|10|100"</f>
        <v>INT|5|10|100</v>
      </c>
      <c r="P58" s="19" t="str">
        <f ca="1">OFFSET(EnumRes!$A$3,COLUMN()-12,0)&amp;"|5|10|100"</f>
        <v>WILL|5|10|100</v>
      </c>
      <c r="Q58" s="19" t="str">
        <f ca="1">OFFSET(EnumRes!$A$3,COLUMN()-12,0)&amp;"|5|10|100"</f>
        <v>LUCK|5|10|100</v>
      </c>
      <c r="R58" s="19" t="str">
        <f ca="1">OFFSET(EnumRes!$A$3,COLUMN()-12,0)&amp;"|5|10|100"</f>
        <v>HP|5|10|100</v>
      </c>
      <c r="S58" s="19" t="str">
        <f ca="1">OFFSET(EnumRes!$A$3,COLUMN()-12,0)&amp;"|5|10|100"</f>
        <v>MP|5|10|100</v>
      </c>
      <c r="T58" s="19" t="str">
        <f ca="1">OFFSET(EnumRes!$A$3,COLUMN()-12,0)&amp;"|5|10|100"</f>
        <v>MINATK|5|10|100</v>
      </c>
      <c r="U58" s="19" t="str">
        <f ca="1">OFFSET(EnumRes!$A$3,COLUMN()-12,0)&amp;"|5|10|100"</f>
        <v>MAXATK|5|10|100</v>
      </c>
      <c r="V58" s="19" t="str">
        <f ca="1">OFFSET(EnumRes!$A$3,COLUMN()-12,0)&amp;"|5|10|100"</f>
        <v>BAL|5|10|100</v>
      </c>
      <c r="W58" s="19" t="str">
        <f ca="1">OFFSET(EnumRes!$A$3,COLUMN()-12,0)&amp;"|5|10|100"</f>
        <v>CRT|5|10|100</v>
      </c>
      <c r="X58" s="19" t="str">
        <f ca="1">OFFSET(EnumRes!$A$3,COLUMN()-12,0)&amp;"|5|10|100"</f>
        <v>CRT_M|5|10|100</v>
      </c>
      <c r="Y58" s="19" t="str">
        <f ca="1">OFFSET(EnumRes!$A$3,COLUMN()-12,0)&amp;"|5|10|100"</f>
        <v>DEF|5|10|100</v>
      </c>
      <c r="Z58" s="19" t="str">
        <f ca="1">OFFSET(EnumRes!$A$3,COLUMN()-12,0)&amp;"|5|10|100"</f>
        <v>PRT|5|10|100</v>
      </c>
      <c r="AA58" s="19" t="str">
        <f ca="1">OFFSET(EnumRes!$A$3,COLUMN()-12,0)&amp;"|5|10|100"</f>
        <v>PRT_I|5|10|100</v>
      </c>
      <c r="AB58" s="19" t="str">
        <f ca="1">OFFSET(EnumRes!$A$3,COLUMN()-12,0)&amp;"|5|10|100"</f>
        <v>ATK|5|10|100</v>
      </c>
      <c r="AC58" s="19" t="str">
        <f ca="1">OFFSET(EnumRes!$A$3,COLUMN()-12,0)&amp;"|5|10|100"</f>
        <v>MAGATK|5|10|100</v>
      </c>
      <c r="AD58" s="19" t="str">
        <f ca="1">OFFSET(EnumRes!$A$3,COLUMN()-12,0)&amp;"|5|10|100"</f>
        <v>GODCHS|5|10|100</v>
      </c>
      <c r="AE58" s="19" t="str">
        <f ca="1">OFFSET(EnumRes!$A$3,COLUMN()-12,0)&amp;"|5|10|100"</f>
        <v>SKLCHS|5|10|100</v>
      </c>
    </row>
    <row r="59" spans="1:31" x14ac:dyDescent="0.3">
      <c r="A59" s="16">
        <v>1056</v>
      </c>
      <c r="B59" s="17" t="s">
        <v>203</v>
      </c>
      <c r="C59" s="16" t="s">
        <v>284</v>
      </c>
      <c r="D59" s="16">
        <v>16</v>
      </c>
      <c r="E59" s="18">
        <v>0</v>
      </c>
      <c r="F59" s="18">
        <v>3</v>
      </c>
      <c r="G59" s="18">
        <v>2</v>
      </c>
      <c r="H59" s="19" t="s">
        <v>393</v>
      </c>
      <c r="I59" s="19" t="s">
        <v>394</v>
      </c>
      <c r="J59" s="19" t="s">
        <v>377</v>
      </c>
      <c r="K59" s="19" t="s">
        <v>377</v>
      </c>
      <c r="L59" s="16">
        <v>2</v>
      </c>
      <c r="M59" s="19" t="str">
        <f ca="1">OFFSET(EnumRes!$A$3,COLUMN()-12,0)&amp;"|5|10|100"</f>
        <v>STR|5|10|100</v>
      </c>
      <c r="N59" s="19" t="str">
        <f ca="1">OFFSET(EnumRes!$A$3,COLUMN()-12,0)&amp;"|5|10|100"</f>
        <v>DEX|5|10|100</v>
      </c>
      <c r="O59" s="19" t="str">
        <f ca="1">OFFSET(EnumRes!$A$3,COLUMN()-12,0)&amp;"|5|10|100"</f>
        <v>INT|5|10|100</v>
      </c>
      <c r="P59" s="19" t="str">
        <f ca="1">OFFSET(EnumRes!$A$3,COLUMN()-12,0)&amp;"|5|10|100"</f>
        <v>WILL|5|10|100</v>
      </c>
      <c r="Q59" s="19" t="str">
        <f ca="1">OFFSET(EnumRes!$A$3,COLUMN()-12,0)&amp;"|5|10|100"</f>
        <v>LUCK|5|10|100</v>
      </c>
      <c r="R59" s="19" t="str">
        <f ca="1">OFFSET(EnumRes!$A$3,COLUMN()-12,0)&amp;"|5|10|100"</f>
        <v>HP|5|10|100</v>
      </c>
      <c r="S59" s="19" t="str">
        <f ca="1">OFFSET(EnumRes!$A$3,COLUMN()-12,0)&amp;"|5|10|100"</f>
        <v>MP|5|10|100</v>
      </c>
      <c r="T59" s="19" t="str">
        <f ca="1">OFFSET(EnumRes!$A$3,COLUMN()-12,0)&amp;"|5|10|100"</f>
        <v>MINATK|5|10|100</v>
      </c>
      <c r="U59" s="19" t="str">
        <f ca="1">OFFSET(EnumRes!$A$3,COLUMN()-12,0)&amp;"|5|10|100"</f>
        <v>MAXATK|5|10|100</v>
      </c>
      <c r="V59" s="19" t="str">
        <f ca="1">OFFSET(EnumRes!$A$3,COLUMN()-12,0)&amp;"|5|10|100"</f>
        <v>BAL|5|10|100</v>
      </c>
      <c r="W59" s="19" t="str">
        <f ca="1">OFFSET(EnumRes!$A$3,COLUMN()-12,0)&amp;"|5|10|100"</f>
        <v>CRT|5|10|100</v>
      </c>
      <c r="X59" s="19" t="str">
        <f ca="1">OFFSET(EnumRes!$A$3,COLUMN()-12,0)&amp;"|5|10|100"</f>
        <v>CRT_M|5|10|100</v>
      </c>
      <c r="Y59" s="19" t="str">
        <f ca="1">OFFSET(EnumRes!$A$3,COLUMN()-12,0)&amp;"|5|10|100"</f>
        <v>DEF|5|10|100</v>
      </c>
      <c r="Z59" s="19" t="str">
        <f ca="1">OFFSET(EnumRes!$A$3,COLUMN()-12,0)&amp;"|5|10|100"</f>
        <v>PRT|5|10|100</v>
      </c>
      <c r="AA59" s="19" t="str">
        <f ca="1">OFFSET(EnumRes!$A$3,COLUMN()-12,0)&amp;"|5|10|100"</f>
        <v>PRT_I|5|10|100</v>
      </c>
      <c r="AB59" s="19" t="str">
        <f ca="1">OFFSET(EnumRes!$A$3,COLUMN()-12,0)&amp;"|5|10|100"</f>
        <v>ATK|5|10|100</v>
      </c>
      <c r="AC59" s="19" t="str">
        <f ca="1">OFFSET(EnumRes!$A$3,COLUMN()-12,0)&amp;"|5|10|100"</f>
        <v>MAGATK|5|10|100</v>
      </c>
      <c r="AD59" s="19" t="str">
        <f ca="1">OFFSET(EnumRes!$A$3,COLUMN()-12,0)&amp;"|5|10|100"</f>
        <v>GODCHS|5|10|100</v>
      </c>
      <c r="AE59" s="19" t="str">
        <f ca="1">OFFSET(EnumRes!$A$3,COLUMN()-12,0)&amp;"|5|10|100"</f>
        <v>SKLCHS|5|10|100</v>
      </c>
    </row>
    <row r="60" spans="1:31" x14ac:dyDescent="0.3">
      <c r="A60" s="16">
        <v>1057</v>
      </c>
      <c r="B60" s="17" t="s">
        <v>303</v>
      </c>
      <c r="C60" s="16" t="s">
        <v>284</v>
      </c>
      <c r="D60" s="16">
        <v>17</v>
      </c>
      <c r="E60" s="18">
        <v>0</v>
      </c>
      <c r="F60" s="18">
        <v>3</v>
      </c>
      <c r="G60" s="18">
        <v>2</v>
      </c>
      <c r="H60" s="19" t="s">
        <v>393</v>
      </c>
      <c r="I60" s="19" t="s">
        <v>394</v>
      </c>
      <c r="J60" s="19" t="s">
        <v>377</v>
      </c>
      <c r="K60" s="19" t="s">
        <v>377</v>
      </c>
      <c r="L60" s="16">
        <v>2</v>
      </c>
      <c r="M60" s="19" t="str">
        <f ca="1">OFFSET(EnumRes!$A$3,COLUMN()-12,0)&amp;"|5|10|100"</f>
        <v>STR|5|10|100</v>
      </c>
      <c r="N60" s="19" t="str">
        <f ca="1">OFFSET(EnumRes!$A$3,COLUMN()-12,0)&amp;"|5|10|100"</f>
        <v>DEX|5|10|100</v>
      </c>
      <c r="O60" s="19" t="str">
        <f ca="1">OFFSET(EnumRes!$A$3,COLUMN()-12,0)&amp;"|5|10|100"</f>
        <v>INT|5|10|100</v>
      </c>
      <c r="P60" s="19" t="str">
        <f ca="1">OFFSET(EnumRes!$A$3,COLUMN()-12,0)&amp;"|5|10|100"</f>
        <v>WILL|5|10|100</v>
      </c>
      <c r="Q60" s="19" t="str">
        <f ca="1">OFFSET(EnumRes!$A$3,COLUMN()-12,0)&amp;"|5|10|100"</f>
        <v>LUCK|5|10|100</v>
      </c>
      <c r="R60" s="19" t="str">
        <f ca="1">OFFSET(EnumRes!$A$3,COLUMN()-12,0)&amp;"|5|10|100"</f>
        <v>HP|5|10|100</v>
      </c>
      <c r="S60" s="19" t="str">
        <f ca="1">OFFSET(EnumRes!$A$3,COLUMN()-12,0)&amp;"|5|10|100"</f>
        <v>MP|5|10|100</v>
      </c>
      <c r="T60" s="19" t="str">
        <f ca="1">OFFSET(EnumRes!$A$3,COLUMN()-12,0)&amp;"|5|10|100"</f>
        <v>MINATK|5|10|100</v>
      </c>
      <c r="U60" s="19" t="str">
        <f ca="1">OFFSET(EnumRes!$A$3,COLUMN()-12,0)&amp;"|5|10|100"</f>
        <v>MAXATK|5|10|100</v>
      </c>
      <c r="V60" s="19" t="str">
        <f ca="1">OFFSET(EnumRes!$A$3,COLUMN()-12,0)&amp;"|5|10|100"</f>
        <v>BAL|5|10|100</v>
      </c>
      <c r="W60" s="19" t="str">
        <f ca="1">OFFSET(EnumRes!$A$3,COLUMN()-12,0)&amp;"|5|10|100"</f>
        <v>CRT|5|10|100</v>
      </c>
      <c r="X60" s="19" t="str">
        <f ca="1">OFFSET(EnumRes!$A$3,COLUMN()-12,0)&amp;"|5|10|100"</f>
        <v>CRT_M|5|10|100</v>
      </c>
      <c r="Y60" s="19" t="str">
        <f ca="1">OFFSET(EnumRes!$A$3,COLUMN()-12,0)&amp;"|5|10|100"</f>
        <v>DEF|5|10|100</v>
      </c>
      <c r="Z60" s="19" t="str">
        <f ca="1">OFFSET(EnumRes!$A$3,COLUMN()-12,0)&amp;"|5|10|100"</f>
        <v>PRT|5|10|100</v>
      </c>
      <c r="AA60" s="19" t="str">
        <f ca="1">OFFSET(EnumRes!$A$3,COLUMN()-12,0)&amp;"|5|10|100"</f>
        <v>PRT_I|5|10|100</v>
      </c>
      <c r="AB60" s="19" t="str">
        <f ca="1">OFFSET(EnumRes!$A$3,COLUMN()-12,0)&amp;"|5|10|100"</f>
        <v>ATK|5|10|100</v>
      </c>
      <c r="AC60" s="19" t="str">
        <f ca="1">OFFSET(EnumRes!$A$3,COLUMN()-12,0)&amp;"|5|10|100"</f>
        <v>MAGATK|5|10|100</v>
      </c>
      <c r="AD60" s="19" t="str">
        <f ca="1">OFFSET(EnumRes!$A$3,COLUMN()-12,0)&amp;"|5|10|100"</f>
        <v>GODCHS|5|10|100</v>
      </c>
      <c r="AE60" s="19" t="str">
        <f ca="1">OFFSET(EnumRes!$A$3,COLUMN()-12,0)&amp;"|5|10|100"</f>
        <v>SKLCHS|5|10|100</v>
      </c>
    </row>
    <row r="61" spans="1:31" x14ac:dyDescent="0.3">
      <c r="A61" s="16">
        <v>1058</v>
      </c>
      <c r="B61" s="17" t="s">
        <v>305</v>
      </c>
      <c r="C61" s="16" t="s">
        <v>284</v>
      </c>
      <c r="D61" s="16">
        <v>18</v>
      </c>
      <c r="E61" s="18">
        <v>0</v>
      </c>
      <c r="F61" s="18">
        <v>3</v>
      </c>
      <c r="G61" s="18">
        <v>2</v>
      </c>
      <c r="H61" s="19" t="s">
        <v>393</v>
      </c>
      <c r="I61" s="19" t="s">
        <v>394</v>
      </c>
      <c r="J61" s="19" t="s">
        <v>377</v>
      </c>
      <c r="K61" s="19" t="s">
        <v>377</v>
      </c>
      <c r="L61" s="16">
        <v>2</v>
      </c>
      <c r="M61" s="19" t="str">
        <f ca="1">OFFSET(EnumRes!$A$3,COLUMN()-12,0)&amp;"|5|10|100"</f>
        <v>STR|5|10|100</v>
      </c>
      <c r="N61" s="19" t="str">
        <f ca="1">OFFSET(EnumRes!$A$3,COLUMN()-12,0)&amp;"|5|10|100"</f>
        <v>DEX|5|10|100</v>
      </c>
      <c r="O61" s="19" t="str">
        <f ca="1">OFFSET(EnumRes!$A$3,COLUMN()-12,0)&amp;"|5|10|100"</f>
        <v>INT|5|10|100</v>
      </c>
      <c r="P61" s="19" t="str">
        <f ca="1">OFFSET(EnumRes!$A$3,COLUMN()-12,0)&amp;"|5|10|100"</f>
        <v>WILL|5|10|100</v>
      </c>
      <c r="Q61" s="19" t="str">
        <f ca="1">OFFSET(EnumRes!$A$3,COLUMN()-12,0)&amp;"|5|10|100"</f>
        <v>LUCK|5|10|100</v>
      </c>
      <c r="R61" s="19" t="str">
        <f ca="1">OFFSET(EnumRes!$A$3,COLUMN()-12,0)&amp;"|5|10|100"</f>
        <v>HP|5|10|100</v>
      </c>
      <c r="S61" s="19" t="str">
        <f ca="1">OFFSET(EnumRes!$A$3,COLUMN()-12,0)&amp;"|5|10|100"</f>
        <v>MP|5|10|100</v>
      </c>
      <c r="T61" s="19" t="str">
        <f ca="1">OFFSET(EnumRes!$A$3,COLUMN()-12,0)&amp;"|5|10|100"</f>
        <v>MINATK|5|10|100</v>
      </c>
      <c r="U61" s="19" t="str">
        <f ca="1">OFFSET(EnumRes!$A$3,COLUMN()-12,0)&amp;"|5|10|100"</f>
        <v>MAXATK|5|10|100</v>
      </c>
      <c r="V61" s="19" t="str">
        <f ca="1">OFFSET(EnumRes!$A$3,COLUMN()-12,0)&amp;"|5|10|100"</f>
        <v>BAL|5|10|100</v>
      </c>
      <c r="W61" s="19" t="str">
        <f ca="1">OFFSET(EnumRes!$A$3,COLUMN()-12,0)&amp;"|5|10|100"</f>
        <v>CRT|5|10|100</v>
      </c>
      <c r="X61" s="19" t="str">
        <f ca="1">OFFSET(EnumRes!$A$3,COLUMN()-12,0)&amp;"|5|10|100"</f>
        <v>CRT_M|5|10|100</v>
      </c>
      <c r="Y61" s="19" t="str">
        <f ca="1">OFFSET(EnumRes!$A$3,COLUMN()-12,0)&amp;"|5|10|100"</f>
        <v>DEF|5|10|100</v>
      </c>
      <c r="Z61" s="19" t="str">
        <f ca="1">OFFSET(EnumRes!$A$3,COLUMN()-12,0)&amp;"|5|10|100"</f>
        <v>PRT|5|10|100</v>
      </c>
      <c r="AA61" s="19" t="str">
        <f ca="1">OFFSET(EnumRes!$A$3,COLUMN()-12,0)&amp;"|5|10|100"</f>
        <v>PRT_I|5|10|100</v>
      </c>
      <c r="AB61" s="19" t="str">
        <f ca="1">OFFSET(EnumRes!$A$3,COLUMN()-12,0)&amp;"|5|10|100"</f>
        <v>ATK|5|10|100</v>
      </c>
      <c r="AC61" s="19" t="str">
        <f ca="1">OFFSET(EnumRes!$A$3,COLUMN()-12,0)&amp;"|5|10|100"</f>
        <v>MAGATK|5|10|100</v>
      </c>
      <c r="AD61" s="19" t="str">
        <f ca="1">OFFSET(EnumRes!$A$3,COLUMN()-12,0)&amp;"|5|10|100"</f>
        <v>GODCHS|5|10|100</v>
      </c>
      <c r="AE61" s="19" t="str">
        <f ca="1">OFFSET(EnumRes!$A$3,COLUMN()-12,0)&amp;"|5|10|100"</f>
        <v>SKLCHS|5|10|100</v>
      </c>
    </row>
    <row r="62" spans="1:31" x14ac:dyDescent="0.3">
      <c r="A62" s="16">
        <v>1059</v>
      </c>
      <c r="B62" s="17" t="s">
        <v>218</v>
      </c>
      <c r="C62" s="16" t="s">
        <v>284</v>
      </c>
      <c r="D62" s="16">
        <v>19</v>
      </c>
      <c r="E62" s="18">
        <v>0</v>
      </c>
      <c r="F62" s="18">
        <v>3</v>
      </c>
      <c r="G62" s="18">
        <v>2</v>
      </c>
      <c r="H62" s="19" t="s">
        <v>377</v>
      </c>
      <c r="I62" s="19" t="s">
        <v>377</v>
      </c>
      <c r="J62" s="19" t="s">
        <v>377</v>
      </c>
      <c r="K62" s="19" t="s">
        <v>377</v>
      </c>
      <c r="L62" s="16">
        <v>2</v>
      </c>
      <c r="M62" s="19" t="str">
        <f ca="1">OFFSET(EnumRes!$A$3,COLUMN()-12,0)&amp;"|5|10|100"</f>
        <v>STR|5|10|100</v>
      </c>
      <c r="N62" s="19" t="str">
        <f ca="1">OFFSET(EnumRes!$A$3,COLUMN()-12,0)&amp;"|5|10|100"</f>
        <v>DEX|5|10|100</v>
      </c>
      <c r="O62" s="19" t="str">
        <f ca="1">OFFSET(EnumRes!$A$3,COLUMN()-12,0)&amp;"|5|10|100"</f>
        <v>INT|5|10|100</v>
      </c>
      <c r="P62" s="19" t="str">
        <f ca="1">OFFSET(EnumRes!$A$3,COLUMN()-12,0)&amp;"|5|10|100"</f>
        <v>WILL|5|10|100</v>
      </c>
      <c r="Q62" s="19" t="str">
        <f ca="1">OFFSET(EnumRes!$A$3,COLUMN()-12,0)&amp;"|5|10|100"</f>
        <v>LUCK|5|10|100</v>
      </c>
      <c r="R62" s="19" t="str">
        <f ca="1">OFFSET(EnumRes!$A$3,COLUMN()-12,0)&amp;"|5|10|100"</f>
        <v>HP|5|10|100</v>
      </c>
      <c r="S62" s="19" t="str">
        <f ca="1">OFFSET(EnumRes!$A$3,COLUMN()-12,0)&amp;"|5|10|100"</f>
        <v>MP|5|10|100</v>
      </c>
      <c r="T62" s="19" t="str">
        <f ca="1">OFFSET(EnumRes!$A$3,COLUMN()-12,0)&amp;"|5|10|100"</f>
        <v>MINATK|5|10|100</v>
      </c>
      <c r="U62" s="19" t="str">
        <f ca="1">OFFSET(EnumRes!$A$3,COLUMN()-12,0)&amp;"|5|10|100"</f>
        <v>MAXATK|5|10|100</v>
      </c>
      <c r="V62" s="19" t="str">
        <f ca="1">OFFSET(EnumRes!$A$3,COLUMN()-12,0)&amp;"|5|10|100"</f>
        <v>BAL|5|10|100</v>
      </c>
      <c r="W62" s="19" t="str">
        <f ca="1">OFFSET(EnumRes!$A$3,COLUMN()-12,0)&amp;"|5|10|100"</f>
        <v>CRT|5|10|100</v>
      </c>
      <c r="X62" s="19" t="str">
        <f ca="1">OFFSET(EnumRes!$A$3,COLUMN()-12,0)&amp;"|5|10|100"</f>
        <v>CRT_M|5|10|100</v>
      </c>
      <c r="Y62" s="19" t="str">
        <f ca="1">OFFSET(EnumRes!$A$3,COLUMN()-12,0)&amp;"|5|10|100"</f>
        <v>DEF|5|10|100</v>
      </c>
      <c r="Z62" s="19" t="str">
        <f ca="1">OFFSET(EnumRes!$A$3,COLUMN()-12,0)&amp;"|5|10|100"</f>
        <v>PRT|5|10|100</v>
      </c>
      <c r="AA62" s="19" t="str">
        <f ca="1">OFFSET(EnumRes!$A$3,COLUMN()-12,0)&amp;"|5|10|100"</f>
        <v>PRT_I|5|10|100</v>
      </c>
      <c r="AB62" s="19" t="str">
        <f ca="1">OFFSET(EnumRes!$A$3,COLUMN()-12,0)&amp;"|5|10|100"</f>
        <v>ATK|5|10|100</v>
      </c>
      <c r="AC62" s="19" t="str">
        <f ca="1">OFFSET(EnumRes!$A$3,COLUMN()-12,0)&amp;"|5|10|100"</f>
        <v>MAGATK|5|10|100</v>
      </c>
      <c r="AD62" s="19" t="str">
        <f ca="1">OFFSET(EnumRes!$A$3,COLUMN()-12,0)&amp;"|5|10|100"</f>
        <v>GODCHS|5|10|100</v>
      </c>
      <c r="AE62" s="19" t="str">
        <f ca="1">OFFSET(EnumRes!$A$3,COLUMN()-12,0)&amp;"|5|10|100"</f>
        <v>SKLCHS|5|10|100</v>
      </c>
    </row>
    <row r="63" spans="1:31" x14ac:dyDescent="0.3">
      <c r="A63" s="16">
        <v>1060</v>
      </c>
      <c r="B63" s="17" t="s">
        <v>220</v>
      </c>
      <c r="C63" s="16" t="s">
        <v>284</v>
      </c>
      <c r="D63" s="16">
        <v>20</v>
      </c>
      <c r="E63" s="18">
        <v>0</v>
      </c>
      <c r="F63" s="18">
        <v>3</v>
      </c>
      <c r="G63" s="18">
        <v>2</v>
      </c>
      <c r="H63" s="19" t="s">
        <v>377</v>
      </c>
      <c r="I63" s="19" t="s">
        <v>377</v>
      </c>
      <c r="J63" s="19" t="s">
        <v>377</v>
      </c>
      <c r="K63" s="19" t="s">
        <v>377</v>
      </c>
      <c r="L63" s="16">
        <v>2</v>
      </c>
      <c r="M63" s="19" t="str">
        <f ca="1">OFFSET(EnumRes!$A$3,COLUMN()-12,0)&amp;"|5|10|100"</f>
        <v>STR|5|10|100</v>
      </c>
      <c r="N63" s="19" t="str">
        <f ca="1">OFFSET(EnumRes!$A$3,COLUMN()-12,0)&amp;"|5|10|100"</f>
        <v>DEX|5|10|100</v>
      </c>
      <c r="O63" s="19" t="str">
        <f ca="1">OFFSET(EnumRes!$A$3,COLUMN()-12,0)&amp;"|5|10|100"</f>
        <v>INT|5|10|100</v>
      </c>
      <c r="P63" s="19" t="str">
        <f ca="1">OFFSET(EnumRes!$A$3,COLUMN()-12,0)&amp;"|5|10|100"</f>
        <v>WILL|5|10|100</v>
      </c>
      <c r="Q63" s="19" t="str">
        <f ca="1">OFFSET(EnumRes!$A$3,COLUMN()-12,0)&amp;"|5|10|100"</f>
        <v>LUCK|5|10|100</v>
      </c>
      <c r="R63" s="19" t="str">
        <f ca="1">OFFSET(EnumRes!$A$3,COLUMN()-12,0)&amp;"|5|10|100"</f>
        <v>HP|5|10|100</v>
      </c>
      <c r="S63" s="19" t="str">
        <f ca="1">OFFSET(EnumRes!$A$3,COLUMN()-12,0)&amp;"|5|10|100"</f>
        <v>MP|5|10|100</v>
      </c>
      <c r="T63" s="19" t="str">
        <f ca="1">OFFSET(EnumRes!$A$3,COLUMN()-12,0)&amp;"|5|10|100"</f>
        <v>MINATK|5|10|100</v>
      </c>
      <c r="U63" s="19" t="str">
        <f ca="1">OFFSET(EnumRes!$A$3,COLUMN()-12,0)&amp;"|5|10|100"</f>
        <v>MAXATK|5|10|100</v>
      </c>
      <c r="V63" s="19" t="str">
        <f ca="1">OFFSET(EnumRes!$A$3,COLUMN()-12,0)&amp;"|5|10|100"</f>
        <v>BAL|5|10|100</v>
      </c>
      <c r="W63" s="19" t="str">
        <f ca="1">OFFSET(EnumRes!$A$3,COLUMN()-12,0)&amp;"|5|10|100"</f>
        <v>CRT|5|10|100</v>
      </c>
      <c r="X63" s="19" t="str">
        <f ca="1">OFFSET(EnumRes!$A$3,COLUMN()-12,0)&amp;"|5|10|100"</f>
        <v>CRT_M|5|10|100</v>
      </c>
      <c r="Y63" s="19" t="str">
        <f ca="1">OFFSET(EnumRes!$A$3,COLUMN()-12,0)&amp;"|5|10|100"</f>
        <v>DEF|5|10|100</v>
      </c>
      <c r="Z63" s="19" t="str">
        <f ca="1">OFFSET(EnumRes!$A$3,COLUMN()-12,0)&amp;"|5|10|100"</f>
        <v>PRT|5|10|100</v>
      </c>
      <c r="AA63" s="19" t="str">
        <f ca="1">OFFSET(EnumRes!$A$3,COLUMN()-12,0)&amp;"|5|10|100"</f>
        <v>PRT_I|5|10|100</v>
      </c>
      <c r="AB63" s="19" t="str">
        <f ca="1">OFFSET(EnumRes!$A$3,COLUMN()-12,0)&amp;"|5|10|100"</f>
        <v>ATK|5|10|100</v>
      </c>
      <c r="AC63" s="19" t="str">
        <f ca="1">OFFSET(EnumRes!$A$3,COLUMN()-12,0)&amp;"|5|10|100"</f>
        <v>MAGATK|5|10|100</v>
      </c>
      <c r="AD63" s="19" t="str">
        <f ca="1">OFFSET(EnumRes!$A$3,COLUMN()-12,0)&amp;"|5|10|100"</f>
        <v>GODCHS|5|10|100</v>
      </c>
      <c r="AE63" s="19" t="str">
        <f ca="1">OFFSET(EnumRes!$A$3,COLUMN()-12,0)&amp;"|5|10|100"</f>
        <v>SKLCHS|5|10|100</v>
      </c>
    </row>
  </sheetData>
  <phoneticPr fontId="7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003"/>
  <sheetViews>
    <sheetView workbookViewId="0">
      <selection activeCell="J4" sqref="J4"/>
    </sheetView>
  </sheetViews>
  <sheetFormatPr defaultRowHeight="14.25" x14ac:dyDescent="0.3"/>
  <cols>
    <col min="1" max="1" width="10.75" style="20" bestFit="1" customWidth="1"/>
    <col min="2" max="2" width="9.125" style="20" bestFit="1" customWidth="1"/>
    <col min="3" max="3" width="12" style="20" bestFit="1" customWidth="1"/>
    <col min="4" max="10" width="9.125" style="20" bestFit="1" customWidth="1"/>
    <col min="11" max="16384" width="9" style="20"/>
  </cols>
  <sheetData>
    <row r="1" spans="1:11" x14ac:dyDescent="0.3">
      <c r="A1" s="20" t="s">
        <v>346</v>
      </c>
      <c r="B1" s="20" t="s">
        <v>347</v>
      </c>
      <c r="C1" s="20" t="s">
        <v>348</v>
      </c>
      <c r="D1" s="20" t="s">
        <v>349</v>
      </c>
      <c r="E1" s="20" t="s">
        <v>433</v>
      </c>
      <c r="F1" s="20" t="s">
        <v>434</v>
      </c>
      <c r="G1" s="20" t="s">
        <v>435</v>
      </c>
      <c r="H1" s="20" t="s">
        <v>436</v>
      </c>
      <c r="I1" s="20" t="s">
        <v>330</v>
      </c>
      <c r="J1" s="20" t="s">
        <v>331</v>
      </c>
    </row>
    <row r="2" spans="1:11" x14ac:dyDescent="0.3">
      <c r="A2" s="22" t="s">
        <v>437</v>
      </c>
      <c r="B2" s="22" t="s">
        <v>438</v>
      </c>
      <c r="C2" s="22" t="s">
        <v>439</v>
      </c>
      <c r="D2" s="22" t="s">
        <v>440</v>
      </c>
      <c r="E2" s="22" t="s">
        <v>441</v>
      </c>
      <c r="F2" s="22" t="s">
        <v>442</v>
      </c>
      <c r="G2" s="22" t="s">
        <v>442</v>
      </c>
      <c r="H2" s="22" t="s">
        <v>443</v>
      </c>
      <c r="I2" s="22" t="s">
        <v>444</v>
      </c>
      <c r="J2" s="22" t="s">
        <v>442</v>
      </c>
      <c r="K2" s="22"/>
    </row>
    <row r="3" spans="1:11" x14ac:dyDescent="0.3">
      <c r="A3" s="20" t="s">
        <v>346</v>
      </c>
      <c r="B3" s="20" t="s">
        <v>350</v>
      </c>
      <c r="C3" s="20" t="s">
        <v>351</v>
      </c>
      <c r="D3" s="17" t="s">
        <v>254</v>
      </c>
      <c r="E3" s="17" t="s">
        <v>255</v>
      </c>
      <c r="F3" s="17" t="s">
        <v>256</v>
      </c>
      <c r="G3" s="17" t="s">
        <v>257</v>
      </c>
      <c r="H3" s="17" t="s">
        <v>258</v>
      </c>
      <c r="I3" s="17" t="s">
        <v>259</v>
      </c>
      <c r="J3" s="17" t="s">
        <v>260</v>
      </c>
    </row>
    <row r="4" spans="1:11" x14ac:dyDescent="0.3">
      <c r="A4" s="20">
        <v>1</v>
      </c>
      <c r="B4" s="20">
        <v>1</v>
      </c>
      <c r="C4" s="20">
        <v>1000</v>
      </c>
      <c r="D4" s="20">
        <v>10</v>
      </c>
      <c r="E4" s="20">
        <v>10</v>
      </c>
      <c r="F4" s="20">
        <v>10</v>
      </c>
      <c r="G4" s="20">
        <v>10</v>
      </c>
      <c r="H4" s="20">
        <v>0</v>
      </c>
      <c r="I4" s="20">
        <v>46</v>
      </c>
      <c r="J4" s="20">
        <v>139</v>
      </c>
    </row>
    <row r="5" spans="1:11" x14ac:dyDescent="0.3">
      <c r="A5" s="20">
        <v>2</v>
      </c>
      <c r="B5" s="20">
        <v>2</v>
      </c>
      <c r="C5" s="20">
        <v>1500</v>
      </c>
      <c r="D5" s="20">
        <v>11</v>
      </c>
      <c r="E5" s="20">
        <v>11</v>
      </c>
      <c r="F5" s="20">
        <v>11</v>
      </c>
      <c r="G5" s="20">
        <v>11</v>
      </c>
      <c r="H5" s="20">
        <v>0</v>
      </c>
      <c r="I5" s="20">
        <v>48</v>
      </c>
      <c r="J5" s="20">
        <v>144</v>
      </c>
    </row>
    <row r="6" spans="1:11" x14ac:dyDescent="0.3">
      <c r="A6" s="20">
        <v>3</v>
      </c>
      <c r="B6" s="20">
        <v>3</v>
      </c>
      <c r="C6" s="20">
        <v>2000</v>
      </c>
      <c r="D6" s="20">
        <v>12</v>
      </c>
      <c r="E6" s="20">
        <v>12</v>
      </c>
      <c r="F6" s="20">
        <v>12</v>
      </c>
      <c r="G6" s="20">
        <v>12</v>
      </c>
      <c r="H6" s="20">
        <v>0</v>
      </c>
      <c r="I6" s="20">
        <v>50</v>
      </c>
      <c r="J6" s="20">
        <v>149</v>
      </c>
    </row>
    <row r="7" spans="1:11" x14ac:dyDescent="0.3">
      <c r="A7" s="20">
        <v>4</v>
      </c>
      <c r="B7" s="20">
        <v>4</v>
      </c>
      <c r="C7" s="20">
        <v>2500</v>
      </c>
      <c r="D7" s="20">
        <v>13</v>
      </c>
      <c r="E7" s="20">
        <v>13</v>
      </c>
      <c r="F7" s="20">
        <v>13</v>
      </c>
      <c r="G7" s="20">
        <v>13</v>
      </c>
      <c r="H7" s="20">
        <v>0</v>
      </c>
      <c r="I7" s="20">
        <v>51</v>
      </c>
      <c r="J7" s="20">
        <v>154</v>
      </c>
    </row>
    <row r="8" spans="1:11" x14ac:dyDescent="0.3">
      <c r="A8" s="20">
        <v>5</v>
      </c>
      <c r="B8" s="20">
        <v>5</v>
      </c>
      <c r="C8" s="20">
        <v>3000</v>
      </c>
      <c r="D8" s="20">
        <v>14</v>
      </c>
      <c r="E8" s="20">
        <v>14</v>
      </c>
      <c r="F8" s="20">
        <v>14</v>
      </c>
      <c r="G8" s="20">
        <v>14</v>
      </c>
      <c r="H8" s="20">
        <v>1</v>
      </c>
      <c r="I8" s="20">
        <v>53</v>
      </c>
      <c r="J8" s="20">
        <v>160</v>
      </c>
    </row>
    <row r="9" spans="1:11" x14ac:dyDescent="0.3">
      <c r="A9" s="20">
        <v>6</v>
      </c>
      <c r="B9" s="20">
        <v>6</v>
      </c>
      <c r="C9" s="20">
        <v>3500</v>
      </c>
      <c r="D9" s="20">
        <v>15</v>
      </c>
      <c r="E9" s="20">
        <v>15</v>
      </c>
      <c r="F9" s="20">
        <v>15</v>
      </c>
      <c r="G9" s="20">
        <v>15</v>
      </c>
      <c r="H9" s="20">
        <f>H4+1</f>
        <v>1</v>
      </c>
      <c r="I9" s="20">
        <v>55</v>
      </c>
      <c r="J9" s="20">
        <v>166</v>
      </c>
    </row>
    <row r="10" spans="1:11" x14ac:dyDescent="0.3">
      <c r="A10" s="20">
        <v>7</v>
      </c>
      <c r="B10" s="20">
        <v>7</v>
      </c>
      <c r="C10" s="20">
        <v>4000</v>
      </c>
      <c r="D10" s="20">
        <v>16</v>
      </c>
      <c r="E10" s="20">
        <v>16</v>
      </c>
      <c r="F10" s="20">
        <v>16</v>
      </c>
      <c r="G10" s="20">
        <v>16</v>
      </c>
      <c r="H10" s="20">
        <f t="shared" ref="H10:H73" si="0">H5+1</f>
        <v>1</v>
      </c>
      <c r="I10" s="20">
        <v>57</v>
      </c>
      <c r="J10" s="20">
        <v>172</v>
      </c>
    </row>
    <row r="11" spans="1:11" x14ac:dyDescent="0.3">
      <c r="A11" s="20">
        <v>8</v>
      </c>
      <c r="B11" s="20">
        <v>8</v>
      </c>
      <c r="C11" s="20">
        <v>4500</v>
      </c>
      <c r="D11" s="20">
        <v>17</v>
      </c>
      <c r="E11" s="20">
        <v>17</v>
      </c>
      <c r="F11" s="20">
        <v>17</v>
      </c>
      <c r="G11" s="20">
        <v>17</v>
      </c>
      <c r="H11" s="20">
        <f t="shared" si="0"/>
        <v>1</v>
      </c>
      <c r="I11" s="20">
        <v>60</v>
      </c>
      <c r="J11" s="20">
        <v>179</v>
      </c>
    </row>
    <row r="12" spans="1:11" x14ac:dyDescent="0.3">
      <c r="A12" s="20">
        <v>9</v>
      </c>
      <c r="B12" s="20">
        <v>9</v>
      </c>
      <c r="C12" s="20">
        <v>5000</v>
      </c>
      <c r="D12" s="20">
        <v>18</v>
      </c>
      <c r="E12" s="20">
        <v>18</v>
      </c>
      <c r="F12" s="20">
        <v>18</v>
      </c>
      <c r="G12" s="20">
        <v>18</v>
      </c>
      <c r="H12" s="20">
        <f t="shared" si="0"/>
        <v>1</v>
      </c>
      <c r="I12" s="20">
        <v>62</v>
      </c>
      <c r="J12" s="20">
        <v>186</v>
      </c>
    </row>
    <row r="13" spans="1:11" x14ac:dyDescent="0.3">
      <c r="A13" s="20">
        <v>10</v>
      </c>
      <c r="B13" s="20">
        <v>10</v>
      </c>
      <c r="C13" s="20">
        <v>5500</v>
      </c>
      <c r="D13" s="20">
        <v>19</v>
      </c>
      <c r="E13" s="20">
        <v>19</v>
      </c>
      <c r="F13" s="20">
        <v>19</v>
      </c>
      <c r="G13" s="20">
        <v>19</v>
      </c>
      <c r="H13" s="20">
        <f t="shared" si="0"/>
        <v>2</v>
      </c>
      <c r="I13" s="20">
        <v>64</v>
      </c>
      <c r="J13" s="20">
        <v>193</v>
      </c>
    </row>
    <row r="14" spans="1:11" x14ac:dyDescent="0.3">
      <c r="A14" s="20">
        <v>11</v>
      </c>
      <c r="B14" s="20">
        <v>11</v>
      </c>
      <c r="C14" s="20">
        <v>6000</v>
      </c>
      <c r="D14" s="20">
        <v>20</v>
      </c>
      <c r="E14" s="20">
        <v>20</v>
      </c>
      <c r="F14" s="20">
        <v>20</v>
      </c>
      <c r="G14" s="20">
        <v>20</v>
      </c>
      <c r="H14" s="20">
        <f t="shared" si="0"/>
        <v>2</v>
      </c>
      <c r="I14" s="20">
        <v>67</v>
      </c>
      <c r="J14" s="20">
        <v>200</v>
      </c>
    </row>
    <row r="15" spans="1:11" x14ac:dyDescent="0.3">
      <c r="A15" s="20">
        <v>12</v>
      </c>
      <c r="B15" s="20">
        <v>12</v>
      </c>
      <c r="C15" s="20">
        <v>6500</v>
      </c>
      <c r="D15" s="20">
        <v>21</v>
      </c>
      <c r="E15" s="20">
        <v>21</v>
      </c>
      <c r="F15" s="20">
        <v>21</v>
      </c>
      <c r="G15" s="20">
        <v>21</v>
      </c>
      <c r="H15" s="20">
        <f t="shared" si="0"/>
        <v>2</v>
      </c>
      <c r="I15" s="20">
        <v>69</v>
      </c>
      <c r="J15" s="20">
        <v>208</v>
      </c>
    </row>
    <row r="16" spans="1:11" x14ac:dyDescent="0.3">
      <c r="A16" s="20">
        <v>13</v>
      </c>
      <c r="B16" s="20">
        <v>13</v>
      </c>
      <c r="C16" s="20">
        <v>7000</v>
      </c>
      <c r="D16" s="20">
        <v>22</v>
      </c>
      <c r="E16" s="20">
        <v>22</v>
      </c>
      <c r="F16" s="20">
        <v>22</v>
      </c>
      <c r="G16" s="20">
        <v>22</v>
      </c>
      <c r="H16" s="20">
        <f t="shared" si="0"/>
        <v>2</v>
      </c>
      <c r="I16" s="20">
        <v>72</v>
      </c>
      <c r="J16" s="20">
        <v>216</v>
      </c>
    </row>
    <row r="17" spans="1:10" x14ac:dyDescent="0.3">
      <c r="A17" s="20">
        <v>14</v>
      </c>
      <c r="B17" s="20">
        <v>14</v>
      </c>
      <c r="C17" s="20">
        <v>7500</v>
      </c>
      <c r="D17" s="20">
        <v>23</v>
      </c>
      <c r="E17" s="20">
        <v>23</v>
      </c>
      <c r="F17" s="20">
        <v>23</v>
      </c>
      <c r="G17" s="20">
        <v>23</v>
      </c>
      <c r="H17" s="20">
        <f t="shared" si="0"/>
        <v>2</v>
      </c>
      <c r="I17" s="20">
        <v>75</v>
      </c>
      <c r="J17" s="20">
        <v>224</v>
      </c>
    </row>
    <row r="18" spans="1:10" x14ac:dyDescent="0.3">
      <c r="A18" s="20">
        <v>15</v>
      </c>
      <c r="B18" s="20">
        <v>15</v>
      </c>
      <c r="C18" s="20">
        <v>8000</v>
      </c>
      <c r="D18" s="20">
        <v>24</v>
      </c>
      <c r="E18" s="20">
        <v>24</v>
      </c>
      <c r="F18" s="20">
        <v>24</v>
      </c>
      <c r="G18" s="20">
        <v>24</v>
      </c>
      <c r="H18" s="20">
        <f t="shared" si="0"/>
        <v>3</v>
      </c>
      <c r="I18" s="20">
        <v>77</v>
      </c>
      <c r="J18" s="20">
        <v>232</v>
      </c>
    </row>
    <row r="19" spans="1:10" x14ac:dyDescent="0.3">
      <c r="A19" s="20">
        <v>16</v>
      </c>
      <c r="B19" s="20">
        <v>16</v>
      </c>
      <c r="C19" s="20">
        <v>8500</v>
      </c>
      <c r="D19" s="20">
        <v>25</v>
      </c>
      <c r="E19" s="20">
        <v>25</v>
      </c>
      <c r="F19" s="20">
        <v>25</v>
      </c>
      <c r="G19" s="20">
        <v>25</v>
      </c>
      <c r="H19" s="20">
        <f t="shared" si="0"/>
        <v>3</v>
      </c>
      <c r="I19" s="20">
        <v>80</v>
      </c>
      <c r="J19" s="20">
        <v>241</v>
      </c>
    </row>
    <row r="20" spans="1:10" x14ac:dyDescent="0.3">
      <c r="A20" s="20">
        <v>17</v>
      </c>
      <c r="B20" s="20">
        <v>17</v>
      </c>
      <c r="C20" s="20">
        <v>9000</v>
      </c>
      <c r="D20" s="20">
        <v>26</v>
      </c>
      <c r="E20" s="20">
        <v>26</v>
      </c>
      <c r="F20" s="20">
        <v>26</v>
      </c>
      <c r="G20" s="20">
        <v>26</v>
      </c>
      <c r="H20" s="20">
        <f t="shared" si="0"/>
        <v>3</v>
      </c>
      <c r="I20" s="20">
        <v>83</v>
      </c>
      <c r="J20" s="20">
        <v>250</v>
      </c>
    </row>
    <row r="21" spans="1:10" x14ac:dyDescent="0.3">
      <c r="A21" s="20">
        <v>18</v>
      </c>
      <c r="B21" s="20">
        <v>18</v>
      </c>
      <c r="C21" s="20">
        <v>9500</v>
      </c>
      <c r="D21" s="20">
        <v>27</v>
      </c>
      <c r="E21" s="20">
        <v>27</v>
      </c>
      <c r="F21" s="20">
        <v>27</v>
      </c>
      <c r="G21" s="20">
        <v>27</v>
      </c>
      <c r="H21" s="20">
        <f t="shared" si="0"/>
        <v>3</v>
      </c>
      <c r="I21" s="20">
        <v>87</v>
      </c>
      <c r="J21" s="20">
        <v>260</v>
      </c>
    </row>
    <row r="22" spans="1:10" x14ac:dyDescent="0.3">
      <c r="A22" s="20">
        <v>19</v>
      </c>
      <c r="B22" s="20">
        <v>19</v>
      </c>
      <c r="C22" s="20">
        <v>10000</v>
      </c>
      <c r="D22" s="20">
        <v>28</v>
      </c>
      <c r="E22" s="20">
        <v>28</v>
      </c>
      <c r="F22" s="20">
        <v>28</v>
      </c>
      <c r="G22" s="20">
        <v>28</v>
      </c>
      <c r="H22" s="20">
        <f t="shared" si="0"/>
        <v>3</v>
      </c>
      <c r="I22" s="20">
        <v>90</v>
      </c>
      <c r="J22" s="20">
        <v>269</v>
      </c>
    </row>
    <row r="23" spans="1:10" x14ac:dyDescent="0.3">
      <c r="A23" s="20">
        <v>20</v>
      </c>
      <c r="B23" s="20">
        <v>20</v>
      </c>
      <c r="C23" s="20">
        <v>10500</v>
      </c>
      <c r="D23" s="20">
        <v>29</v>
      </c>
      <c r="E23" s="20">
        <v>29</v>
      </c>
      <c r="F23" s="20">
        <v>29</v>
      </c>
      <c r="G23" s="20">
        <v>29</v>
      </c>
      <c r="H23" s="20">
        <f t="shared" si="0"/>
        <v>4</v>
      </c>
      <c r="I23" s="20">
        <v>93</v>
      </c>
      <c r="J23" s="20">
        <v>279</v>
      </c>
    </row>
    <row r="24" spans="1:10" x14ac:dyDescent="0.3">
      <c r="A24" s="20">
        <v>21</v>
      </c>
      <c r="B24" s="20">
        <v>21</v>
      </c>
      <c r="C24" s="20">
        <v>11000</v>
      </c>
      <c r="D24" s="20">
        <v>30</v>
      </c>
      <c r="E24" s="20">
        <v>30</v>
      </c>
      <c r="F24" s="20">
        <v>30</v>
      </c>
      <c r="G24" s="20">
        <v>30</v>
      </c>
      <c r="H24" s="20">
        <f t="shared" si="0"/>
        <v>4</v>
      </c>
      <c r="I24" s="20">
        <v>97</v>
      </c>
      <c r="J24" s="20">
        <v>290</v>
      </c>
    </row>
    <row r="25" spans="1:10" x14ac:dyDescent="0.3">
      <c r="A25" s="20">
        <v>22</v>
      </c>
      <c r="B25" s="20">
        <v>22</v>
      </c>
      <c r="C25" s="20">
        <v>11500</v>
      </c>
      <c r="D25" s="20">
        <v>31</v>
      </c>
      <c r="E25" s="20">
        <v>31</v>
      </c>
      <c r="F25" s="20">
        <v>31</v>
      </c>
      <c r="G25" s="20">
        <v>31</v>
      </c>
      <c r="H25" s="20">
        <f t="shared" si="0"/>
        <v>4</v>
      </c>
      <c r="I25" s="20">
        <v>100</v>
      </c>
      <c r="J25" s="20">
        <v>300</v>
      </c>
    </row>
    <row r="26" spans="1:10" x14ac:dyDescent="0.3">
      <c r="A26" s="20">
        <v>23</v>
      </c>
      <c r="B26" s="20">
        <v>23</v>
      </c>
      <c r="C26" s="20">
        <v>12000</v>
      </c>
      <c r="D26" s="20">
        <v>32</v>
      </c>
      <c r="E26" s="20">
        <v>32</v>
      </c>
      <c r="F26" s="20">
        <v>32</v>
      </c>
      <c r="G26" s="20">
        <v>32</v>
      </c>
      <c r="H26" s="20">
        <f t="shared" si="0"/>
        <v>4</v>
      </c>
      <c r="I26" s="20">
        <v>104</v>
      </c>
      <c r="J26" s="20">
        <v>311</v>
      </c>
    </row>
    <row r="27" spans="1:10" x14ac:dyDescent="0.3">
      <c r="A27" s="20">
        <v>24</v>
      </c>
      <c r="B27" s="20">
        <v>24</v>
      </c>
      <c r="C27" s="20">
        <v>12500</v>
      </c>
      <c r="D27" s="20">
        <v>33</v>
      </c>
      <c r="E27" s="20">
        <v>33</v>
      </c>
      <c r="F27" s="20">
        <v>33</v>
      </c>
      <c r="G27" s="20">
        <v>33</v>
      </c>
      <c r="H27" s="20">
        <f t="shared" si="0"/>
        <v>4</v>
      </c>
      <c r="I27" s="20">
        <v>107</v>
      </c>
      <c r="J27" s="20">
        <v>322</v>
      </c>
    </row>
    <row r="28" spans="1:10" x14ac:dyDescent="0.3">
      <c r="A28" s="20">
        <v>25</v>
      </c>
      <c r="B28" s="20">
        <v>25</v>
      </c>
      <c r="C28" s="20">
        <v>13000</v>
      </c>
      <c r="D28" s="20">
        <v>34</v>
      </c>
      <c r="E28" s="20">
        <v>34</v>
      </c>
      <c r="F28" s="20">
        <v>34</v>
      </c>
      <c r="G28" s="20">
        <v>34</v>
      </c>
      <c r="H28" s="20">
        <f t="shared" si="0"/>
        <v>5</v>
      </c>
      <c r="I28" s="20">
        <v>111</v>
      </c>
      <c r="J28" s="20">
        <v>333</v>
      </c>
    </row>
    <row r="29" spans="1:10" x14ac:dyDescent="0.3">
      <c r="A29" s="20">
        <v>26</v>
      </c>
      <c r="B29" s="20">
        <v>26</v>
      </c>
      <c r="C29" s="20">
        <v>13500</v>
      </c>
      <c r="D29" s="20">
        <v>35</v>
      </c>
      <c r="E29" s="20">
        <v>35</v>
      </c>
      <c r="F29" s="20">
        <v>35</v>
      </c>
      <c r="G29" s="20">
        <v>35</v>
      </c>
      <c r="H29" s="20">
        <f t="shared" si="0"/>
        <v>5</v>
      </c>
      <c r="I29" s="20">
        <v>115</v>
      </c>
      <c r="J29" s="20">
        <v>345</v>
      </c>
    </row>
    <row r="30" spans="1:10" x14ac:dyDescent="0.3">
      <c r="A30" s="20">
        <v>27</v>
      </c>
      <c r="B30" s="20">
        <v>27</v>
      </c>
      <c r="C30" s="20">
        <v>14000</v>
      </c>
      <c r="D30" s="20">
        <v>36</v>
      </c>
      <c r="E30" s="20">
        <v>36</v>
      </c>
      <c r="F30" s="20">
        <v>36</v>
      </c>
      <c r="G30" s="20">
        <v>36</v>
      </c>
      <c r="H30" s="20">
        <f t="shared" si="0"/>
        <v>5</v>
      </c>
      <c r="I30" s="20">
        <v>119</v>
      </c>
      <c r="J30" s="20">
        <v>357</v>
      </c>
    </row>
    <row r="31" spans="1:10" x14ac:dyDescent="0.3">
      <c r="A31" s="20">
        <v>28</v>
      </c>
      <c r="B31" s="20">
        <v>28</v>
      </c>
      <c r="C31" s="20">
        <v>14500</v>
      </c>
      <c r="D31" s="20">
        <v>37</v>
      </c>
      <c r="E31" s="20">
        <v>37</v>
      </c>
      <c r="F31" s="20">
        <v>37</v>
      </c>
      <c r="G31" s="20">
        <v>37</v>
      </c>
      <c r="H31" s="20">
        <f t="shared" si="0"/>
        <v>5</v>
      </c>
      <c r="I31" s="20">
        <v>123</v>
      </c>
      <c r="J31" s="20">
        <v>369</v>
      </c>
    </row>
    <row r="32" spans="1:10" x14ac:dyDescent="0.3">
      <c r="A32" s="20">
        <v>29</v>
      </c>
      <c r="B32" s="20">
        <v>29</v>
      </c>
      <c r="C32" s="20">
        <v>15000</v>
      </c>
      <c r="D32" s="20">
        <v>38</v>
      </c>
      <c r="E32" s="20">
        <v>38</v>
      </c>
      <c r="F32" s="20">
        <v>38</v>
      </c>
      <c r="G32" s="20">
        <v>38</v>
      </c>
      <c r="H32" s="20">
        <f t="shared" si="0"/>
        <v>5</v>
      </c>
      <c r="I32" s="20">
        <v>127</v>
      </c>
      <c r="J32" s="20">
        <v>382</v>
      </c>
    </row>
    <row r="33" spans="1:10" x14ac:dyDescent="0.3">
      <c r="A33" s="20">
        <v>30</v>
      </c>
      <c r="B33" s="20">
        <v>30</v>
      </c>
      <c r="C33" s="20">
        <v>15500</v>
      </c>
      <c r="D33" s="20">
        <v>39</v>
      </c>
      <c r="E33" s="20">
        <v>39</v>
      </c>
      <c r="F33" s="20">
        <v>39</v>
      </c>
      <c r="G33" s="20">
        <v>39</v>
      </c>
      <c r="H33" s="20">
        <f t="shared" si="0"/>
        <v>6</v>
      </c>
      <c r="I33" s="20">
        <v>131</v>
      </c>
      <c r="J33" s="20">
        <v>394</v>
      </c>
    </row>
    <row r="34" spans="1:10" x14ac:dyDescent="0.3">
      <c r="A34" s="20">
        <v>31</v>
      </c>
      <c r="B34" s="20">
        <v>31</v>
      </c>
      <c r="C34" s="20">
        <v>16000</v>
      </c>
      <c r="D34" s="20">
        <v>40</v>
      </c>
      <c r="E34" s="20">
        <v>40</v>
      </c>
      <c r="F34" s="20">
        <v>40</v>
      </c>
      <c r="G34" s="20">
        <v>40</v>
      </c>
      <c r="H34" s="20">
        <f t="shared" si="0"/>
        <v>6</v>
      </c>
      <c r="I34" s="20">
        <v>136</v>
      </c>
      <c r="J34" s="20">
        <v>407</v>
      </c>
    </row>
    <row r="35" spans="1:10" x14ac:dyDescent="0.3">
      <c r="A35" s="20">
        <v>32</v>
      </c>
      <c r="B35" s="20">
        <v>32</v>
      </c>
      <c r="C35" s="20">
        <v>16500</v>
      </c>
      <c r="D35" s="20">
        <v>41</v>
      </c>
      <c r="E35" s="20">
        <v>41</v>
      </c>
      <c r="F35" s="20">
        <v>41</v>
      </c>
      <c r="G35" s="20">
        <v>41</v>
      </c>
      <c r="H35" s="20">
        <f t="shared" si="0"/>
        <v>6</v>
      </c>
      <c r="I35" s="20">
        <v>140</v>
      </c>
      <c r="J35" s="20">
        <v>421</v>
      </c>
    </row>
    <row r="36" spans="1:10" x14ac:dyDescent="0.3">
      <c r="A36" s="20">
        <v>33</v>
      </c>
      <c r="B36" s="20">
        <v>33</v>
      </c>
      <c r="C36" s="20">
        <v>17000</v>
      </c>
      <c r="D36" s="20">
        <v>42</v>
      </c>
      <c r="E36" s="20">
        <v>42</v>
      </c>
      <c r="F36" s="20">
        <v>42</v>
      </c>
      <c r="G36" s="20">
        <v>42</v>
      </c>
      <c r="H36" s="20">
        <f t="shared" si="0"/>
        <v>6</v>
      </c>
      <c r="I36" s="20">
        <v>145</v>
      </c>
      <c r="J36" s="20">
        <v>434</v>
      </c>
    </row>
    <row r="37" spans="1:10" x14ac:dyDescent="0.3">
      <c r="A37" s="20">
        <v>34</v>
      </c>
      <c r="B37" s="20">
        <v>34</v>
      </c>
      <c r="C37" s="20">
        <v>17500</v>
      </c>
      <c r="D37" s="20">
        <v>43</v>
      </c>
      <c r="E37" s="20">
        <v>43</v>
      </c>
      <c r="F37" s="20">
        <v>43</v>
      </c>
      <c r="G37" s="20">
        <v>43</v>
      </c>
      <c r="H37" s="20">
        <f t="shared" si="0"/>
        <v>6</v>
      </c>
      <c r="I37" s="20">
        <v>149</v>
      </c>
      <c r="J37" s="20">
        <v>448</v>
      </c>
    </row>
    <row r="38" spans="1:10" x14ac:dyDescent="0.3">
      <c r="A38" s="20">
        <v>35</v>
      </c>
      <c r="B38" s="20">
        <v>35</v>
      </c>
      <c r="C38" s="20">
        <v>18000</v>
      </c>
      <c r="D38" s="20">
        <v>44</v>
      </c>
      <c r="E38" s="20">
        <v>44</v>
      </c>
      <c r="F38" s="20">
        <v>44</v>
      </c>
      <c r="G38" s="20">
        <v>44</v>
      </c>
      <c r="H38" s="20">
        <f t="shared" si="0"/>
        <v>7</v>
      </c>
      <c r="I38" s="20">
        <v>154</v>
      </c>
      <c r="J38" s="20">
        <v>463</v>
      </c>
    </row>
    <row r="39" spans="1:10" x14ac:dyDescent="0.3">
      <c r="A39" s="20">
        <v>36</v>
      </c>
      <c r="B39" s="20">
        <v>36</v>
      </c>
      <c r="C39" s="20">
        <v>18500</v>
      </c>
      <c r="D39" s="20">
        <v>45</v>
      </c>
      <c r="E39" s="20">
        <v>45</v>
      </c>
      <c r="F39" s="20">
        <v>45</v>
      </c>
      <c r="G39" s="20">
        <v>45</v>
      </c>
      <c r="H39" s="20">
        <f t="shared" si="0"/>
        <v>7</v>
      </c>
      <c r="I39" s="20">
        <v>159</v>
      </c>
      <c r="J39" s="20">
        <v>477</v>
      </c>
    </row>
    <row r="40" spans="1:10" x14ac:dyDescent="0.3">
      <c r="A40" s="20">
        <v>37</v>
      </c>
      <c r="B40" s="20">
        <v>37</v>
      </c>
      <c r="C40" s="20">
        <v>19000</v>
      </c>
      <c r="D40" s="20">
        <v>46</v>
      </c>
      <c r="E40" s="20">
        <v>46</v>
      </c>
      <c r="F40" s="20">
        <v>46</v>
      </c>
      <c r="G40" s="20">
        <v>46</v>
      </c>
      <c r="H40" s="20">
        <f t="shared" si="0"/>
        <v>7</v>
      </c>
      <c r="I40" s="20">
        <v>164</v>
      </c>
      <c r="J40" s="20">
        <v>492</v>
      </c>
    </row>
    <row r="41" spans="1:10" x14ac:dyDescent="0.3">
      <c r="A41" s="20">
        <v>38</v>
      </c>
      <c r="B41" s="20">
        <v>38</v>
      </c>
      <c r="C41" s="20">
        <v>19500</v>
      </c>
      <c r="D41" s="20">
        <v>47</v>
      </c>
      <c r="E41" s="20">
        <v>47</v>
      </c>
      <c r="F41" s="20">
        <v>47</v>
      </c>
      <c r="G41" s="20">
        <v>47</v>
      </c>
      <c r="H41" s="20">
        <f t="shared" si="0"/>
        <v>7</v>
      </c>
      <c r="I41" s="20">
        <v>169</v>
      </c>
      <c r="J41" s="20">
        <v>507</v>
      </c>
    </row>
    <row r="42" spans="1:10" x14ac:dyDescent="0.3">
      <c r="A42" s="20">
        <v>39</v>
      </c>
      <c r="B42" s="20">
        <v>39</v>
      </c>
      <c r="C42" s="20">
        <v>20000</v>
      </c>
      <c r="D42" s="20">
        <v>48</v>
      </c>
      <c r="E42" s="20">
        <v>48</v>
      </c>
      <c r="F42" s="20">
        <v>48</v>
      </c>
      <c r="G42" s="20">
        <v>48</v>
      </c>
      <c r="H42" s="20">
        <f t="shared" si="0"/>
        <v>7</v>
      </c>
      <c r="I42" s="20">
        <v>174</v>
      </c>
      <c r="J42" s="20">
        <v>522</v>
      </c>
    </row>
    <row r="43" spans="1:10" x14ac:dyDescent="0.3">
      <c r="A43" s="20">
        <v>40</v>
      </c>
      <c r="B43" s="20">
        <v>40</v>
      </c>
      <c r="C43" s="20">
        <v>20500</v>
      </c>
      <c r="D43" s="20">
        <v>49</v>
      </c>
      <c r="E43" s="20">
        <v>49</v>
      </c>
      <c r="F43" s="20">
        <v>49</v>
      </c>
      <c r="G43" s="20">
        <v>49</v>
      </c>
      <c r="H43" s="20">
        <f t="shared" si="0"/>
        <v>8</v>
      </c>
      <c r="I43" s="20">
        <v>179</v>
      </c>
      <c r="J43" s="20">
        <v>538</v>
      </c>
    </row>
    <row r="44" spans="1:10" x14ac:dyDescent="0.3">
      <c r="A44" s="20">
        <v>41</v>
      </c>
      <c r="B44" s="20">
        <v>41</v>
      </c>
      <c r="C44" s="20">
        <v>21000</v>
      </c>
      <c r="D44" s="20">
        <v>50</v>
      </c>
      <c r="E44" s="20">
        <v>50</v>
      </c>
      <c r="F44" s="20">
        <v>50</v>
      </c>
      <c r="G44" s="20">
        <v>50</v>
      </c>
      <c r="H44" s="20">
        <f t="shared" si="0"/>
        <v>8</v>
      </c>
      <c r="I44" s="20">
        <v>185</v>
      </c>
      <c r="J44" s="20">
        <v>554</v>
      </c>
    </row>
    <row r="45" spans="1:10" x14ac:dyDescent="0.3">
      <c r="A45" s="20">
        <v>42</v>
      </c>
      <c r="B45" s="20">
        <v>42</v>
      </c>
      <c r="C45" s="20">
        <v>21500</v>
      </c>
      <c r="D45" s="20">
        <v>51</v>
      </c>
      <c r="E45" s="20">
        <v>51</v>
      </c>
      <c r="F45" s="20">
        <v>51</v>
      </c>
      <c r="G45" s="20">
        <v>51</v>
      </c>
      <c r="H45" s="20">
        <f t="shared" si="0"/>
        <v>8</v>
      </c>
      <c r="I45" s="20">
        <v>190</v>
      </c>
      <c r="J45" s="20">
        <v>570</v>
      </c>
    </row>
    <row r="46" spans="1:10" x14ac:dyDescent="0.3">
      <c r="A46" s="20">
        <v>43</v>
      </c>
      <c r="B46" s="20">
        <v>43</v>
      </c>
      <c r="C46" s="20">
        <v>22000</v>
      </c>
      <c r="D46" s="20">
        <v>52</v>
      </c>
      <c r="E46" s="20">
        <v>52</v>
      </c>
      <c r="F46" s="20">
        <v>52</v>
      </c>
      <c r="G46" s="20">
        <v>52</v>
      </c>
      <c r="H46" s="20">
        <f t="shared" si="0"/>
        <v>8</v>
      </c>
      <c r="I46" s="20">
        <v>195</v>
      </c>
      <c r="J46" s="20">
        <v>586</v>
      </c>
    </row>
    <row r="47" spans="1:10" x14ac:dyDescent="0.3">
      <c r="A47" s="20">
        <v>44</v>
      </c>
      <c r="B47" s="20">
        <v>44</v>
      </c>
      <c r="C47" s="20">
        <v>22500</v>
      </c>
      <c r="D47" s="20">
        <v>53</v>
      </c>
      <c r="E47" s="20">
        <v>53</v>
      </c>
      <c r="F47" s="20">
        <v>53</v>
      </c>
      <c r="G47" s="20">
        <v>53</v>
      </c>
      <c r="H47" s="20">
        <f t="shared" si="0"/>
        <v>8</v>
      </c>
      <c r="I47" s="20">
        <v>201</v>
      </c>
      <c r="J47" s="20">
        <v>603</v>
      </c>
    </row>
    <row r="48" spans="1:10" x14ac:dyDescent="0.3">
      <c r="A48" s="20">
        <v>45</v>
      </c>
      <c r="B48" s="20">
        <v>45</v>
      </c>
      <c r="C48" s="20">
        <v>23000</v>
      </c>
      <c r="D48" s="20">
        <v>54</v>
      </c>
      <c r="E48" s="20">
        <v>54</v>
      </c>
      <c r="F48" s="20">
        <v>54</v>
      </c>
      <c r="G48" s="20">
        <v>54</v>
      </c>
      <c r="H48" s="20">
        <f t="shared" si="0"/>
        <v>9</v>
      </c>
      <c r="I48" s="20">
        <v>207</v>
      </c>
      <c r="J48" s="20">
        <v>620</v>
      </c>
    </row>
    <row r="49" spans="1:10" x14ac:dyDescent="0.3">
      <c r="A49" s="20">
        <v>46</v>
      </c>
      <c r="B49" s="20">
        <v>46</v>
      </c>
      <c r="C49" s="20">
        <v>23500</v>
      </c>
      <c r="D49" s="20">
        <v>55</v>
      </c>
      <c r="E49" s="20">
        <v>55</v>
      </c>
      <c r="F49" s="20">
        <v>55</v>
      </c>
      <c r="G49" s="20">
        <v>55</v>
      </c>
      <c r="H49" s="20">
        <f t="shared" si="0"/>
        <v>9</v>
      </c>
      <c r="I49" s="20">
        <v>213</v>
      </c>
      <c r="J49" s="20">
        <v>638</v>
      </c>
    </row>
    <row r="50" spans="1:10" x14ac:dyDescent="0.3">
      <c r="A50" s="20">
        <v>47</v>
      </c>
      <c r="B50" s="20">
        <v>47</v>
      </c>
      <c r="C50" s="20">
        <v>24000</v>
      </c>
      <c r="D50" s="20">
        <v>56</v>
      </c>
      <c r="E50" s="20">
        <v>56</v>
      </c>
      <c r="F50" s="20">
        <v>56</v>
      </c>
      <c r="G50" s="20">
        <v>56</v>
      </c>
      <c r="H50" s="20">
        <f t="shared" si="0"/>
        <v>9</v>
      </c>
      <c r="I50" s="20">
        <v>218</v>
      </c>
      <c r="J50" s="20">
        <v>655</v>
      </c>
    </row>
    <row r="51" spans="1:10" x14ac:dyDescent="0.3">
      <c r="A51" s="20">
        <v>48</v>
      </c>
      <c r="B51" s="20">
        <v>48</v>
      </c>
      <c r="C51" s="20">
        <v>24500</v>
      </c>
      <c r="D51" s="20">
        <v>57</v>
      </c>
      <c r="E51" s="20">
        <v>57</v>
      </c>
      <c r="F51" s="20">
        <v>57</v>
      </c>
      <c r="G51" s="20">
        <v>57</v>
      </c>
      <c r="H51" s="20">
        <f t="shared" si="0"/>
        <v>9</v>
      </c>
      <c r="I51" s="20">
        <v>224</v>
      </c>
      <c r="J51" s="20">
        <v>673</v>
      </c>
    </row>
    <row r="52" spans="1:10" x14ac:dyDescent="0.3">
      <c r="A52" s="20">
        <v>49</v>
      </c>
      <c r="B52" s="20">
        <v>49</v>
      </c>
      <c r="C52" s="20">
        <v>25000</v>
      </c>
      <c r="D52" s="20">
        <v>58</v>
      </c>
      <c r="E52" s="20">
        <v>58</v>
      </c>
      <c r="F52" s="20">
        <v>58</v>
      </c>
      <c r="G52" s="20">
        <v>58</v>
      </c>
      <c r="H52" s="20">
        <f t="shared" si="0"/>
        <v>9</v>
      </c>
      <c r="I52" s="20">
        <v>230</v>
      </c>
      <c r="J52" s="20">
        <v>691</v>
      </c>
    </row>
    <row r="53" spans="1:10" x14ac:dyDescent="0.3">
      <c r="A53" s="20">
        <v>50</v>
      </c>
      <c r="B53" s="20">
        <v>50</v>
      </c>
      <c r="C53" s="20">
        <v>25500</v>
      </c>
      <c r="D53" s="20">
        <v>59</v>
      </c>
      <c r="E53" s="20">
        <v>59</v>
      </c>
      <c r="F53" s="20">
        <v>59</v>
      </c>
      <c r="G53" s="20">
        <v>59</v>
      </c>
      <c r="H53" s="20">
        <f t="shared" si="0"/>
        <v>10</v>
      </c>
      <c r="I53" s="20">
        <v>237</v>
      </c>
      <c r="J53" s="20">
        <v>710</v>
      </c>
    </row>
    <row r="54" spans="1:10" x14ac:dyDescent="0.3">
      <c r="A54" s="20">
        <v>51</v>
      </c>
      <c r="B54" s="20">
        <v>51</v>
      </c>
      <c r="C54" s="20">
        <v>26000</v>
      </c>
      <c r="D54" s="20">
        <v>60</v>
      </c>
      <c r="E54" s="20">
        <v>60</v>
      </c>
      <c r="F54" s="20">
        <v>60</v>
      </c>
      <c r="G54" s="20">
        <v>60</v>
      </c>
      <c r="H54" s="20">
        <f t="shared" si="0"/>
        <v>10</v>
      </c>
      <c r="I54" s="20">
        <v>243</v>
      </c>
      <c r="J54" s="20">
        <v>729</v>
      </c>
    </row>
    <row r="55" spans="1:10" x14ac:dyDescent="0.3">
      <c r="A55" s="20">
        <v>52</v>
      </c>
      <c r="B55" s="20">
        <v>52</v>
      </c>
      <c r="C55" s="20">
        <v>26500</v>
      </c>
      <c r="D55" s="20">
        <v>61</v>
      </c>
      <c r="E55" s="20">
        <v>61</v>
      </c>
      <c r="F55" s="20">
        <v>61</v>
      </c>
      <c r="G55" s="20">
        <v>61</v>
      </c>
      <c r="H55" s="20">
        <f t="shared" si="0"/>
        <v>10</v>
      </c>
      <c r="I55" s="20">
        <v>249</v>
      </c>
      <c r="J55" s="20">
        <v>748</v>
      </c>
    </row>
    <row r="56" spans="1:10" x14ac:dyDescent="0.3">
      <c r="A56" s="20">
        <v>53</v>
      </c>
      <c r="B56" s="20">
        <v>53</v>
      </c>
      <c r="C56" s="20">
        <v>27000</v>
      </c>
      <c r="D56" s="20">
        <v>62</v>
      </c>
      <c r="E56" s="20">
        <v>62</v>
      </c>
      <c r="F56" s="20">
        <v>62</v>
      </c>
      <c r="G56" s="20">
        <v>62</v>
      </c>
      <c r="H56" s="20">
        <f t="shared" si="0"/>
        <v>10</v>
      </c>
      <c r="I56" s="20">
        <v>256</v>
      </c>
      <c r="J56" s="20">
        <v>767</v>
      </c>
    </row>
    <row r="57" spans="1:10" x14ac:dyDescent="0.3">
      <c r="A57" s="20">
        <v>54</v>
      </c>
      <c r="B57" s="20">
        <v>54</v>
      </c>
      <c r="C57" s="20">
        <v>27500</v>
      </c>
      <c r="D57" s="20">
        <v>63</v>
      </c>
      <c r="E57" s="20">
        <v>63</v>
      </c>
      <c r="F57" s="20">
        <v>63</v>
      </c>
      <c r="G57" s="20">
        <v>63</v>
      </c>
      <c r="H57" s="20">
        <f t="shared" si="0"/>
        <v>10</v>
      </c>
      <c r="I57" s="20">
        <v>262</v>
      </c>
      <c r="J57" s="20">
        <v>787</v>
      </c>
    </row>
    <row r="58" spans="1:10" x14ac:dyDescent="0.3">
      <c r="A58" s="20">
        <v>55</v>
      </c>
      <c r="B58" s="20">
        <v>55</v>
      </c>
      <c r="C58" s="20">
        <v>28000</v>
      </c>
      <c r="D58" s="20">
        <v>64</v>
      </c>
      <c r="E58" s="20">
        <v>64</v>
      </c>
      <c r="F58" s="20">
        <v>64</v>
      </c>
      <c r="G58" s="20">
        <v>64</v>
      </c>
      <c r="H58" s="20">
        <f t="shared" si="0"/>
        <v>11</v>
      </c>
      <c r="I58" s="20">
        <v>269</v>
      </c>
      <c r="J58" s="20">
        <v>806</v>
      </c>
    </row>
    <row r="59" spans="1:10" x14ac:dyDescent="0.3">
      <c r="A59" s="20">
        <v>56</v>
      </c>
      <c r="B59" s="20">
        <v>56</v>
      </c>
      <c r="C59" s="20">
        <v>28500</v>
      </c>
      <c r="D59" s="20">
        <v>65</v>
      </c>
      <c r="E59" s="20">
        <v>65</v>
      </c>
      <c r="F59" s="20">
        <v>65</v>
      </c>
      <c r="G59" s="20">
        <v>65</v>
      </c>
      <c r="H59" s="20">
        <f t="shared" si="0"/>
        <v>11</v>
      </c>
      <c r="I59" s="20">
        <v>276</v>
      </c>
      <c r="J59" s="20">
        <v>827</v>
      </c>
    </row>
    <row r="60" spans="1:10" x14ac:dyDescent="0.3">
      <c r="A60" s="20">
        <v>57</v>
      </c>
      <c r="B60" s="20">
        <v>57</v>
      </c>
      <c r="C60" s="20">
        <v>29000</v>
      </c>
      <c r="D60" s="20">
        <v>66</v>
      </c>
      <c r="E60" s="20">
        <v>66</v>
      </c>
      <c r="F60" s="20">
        <v>66</v>
      </c>
      <c r="G60" s="20">
        <v>66</v>
      </c>
      <c r="H60" s="20">
        <f t="shared" si="0"/>
        <v>11</v>
      </c>
      <c r="I60" s="20">
        <v>282</v>
      </c>
      <c r="J60" s="20">
        <v>847</v>
      </c>
    </row>
    <row r="61" spans="1:10" x14ac:dyDescent="0.3">
      <c r="A61" s="20">
        <v>58</v>
      </c>
      <c r="B61" s="20">
        <v>58</v>
      </c>
      <c r="C61" s="20">
        <v>29500</v>
      </c>
      <c r="D61" s="20">
        <v>67</v>
      </c>
      <c r="E61" s="20">
        <v>67</v>
      </c>
      <c r="F61" s="20">
        <v>67</v>
      </c>
      <c r="G61" s="20">
        <v>67</v>
      </c>
      <c r="H61" s="20">
        <f t="shared" si="0"/>
        <v>11</v>
      </c>
      <c r="I61" s="20">
        <v>289</v>
      </c>
      <c r="J61" s="20">
        <v>868</v>
      </c>
    </row>
    <row r="62" spans="1:10" x14ac:dyDescent="0.3">
      <c r="A62" s="20">
        <v>59</v>
      </c>
      <c r="B62" s="20">
        <v>59</v>
      </c>
      <c r="C62" s="20">
        <v>30000</v>
      </c>
      <c r="D62" s="20">
        <v>68</v>
      </c>
      <c r="E62" s="20">
        <v>68</v>
      </c>
      <c r="F62" s="20">
        <v>68</v>
      </c>
      <c r="G62" s="20">
        <v>68</v>
      </c>
      <c r="H62" s="20">
        <f t="shared" si="0"/>
        <v>11</v>
      </c>
      <c r="I62" s="20">
        <v>296</v>
      </c>
      <c r="J62" s="20">
        <v>889</v>
      </c>
    </row>
    <row r="63" spans="1:10" x14ac:dyDescent="0.3">
      <c r="A63" s="20">
        <v>60</v>
      </c>
      <c r="B63" s="20">
        <v>60</v>
      </c>
      <c r="C63" s="20">
        <v>30500</v>
      </c>
      <c r="D63" s="20">
        <v>69</v>
      </c>
      <c r="E63" s="20">
        <v>69</v>
      </c>
      <c r="F63" s="20">
        <v>69</v>
      </c>
      <c r="G63" s="20">
        <v>69</v>
      </c>
      <c r="H63" s="20">
        <f t="shared" si="0"/>
        <v>12</v>
      </c>
      <c r="I63" s="20">
        <v>303</v>
      </c>
      <c r="J63" s="20">
        <v>910</v>
      </c>
    </row>
    <row r="64" spans="1:10" x14ac:dyDescent="0.3">
      <c r="A64" s="20">
        <v>61</v>
      </c>
      <c r="B64" s="20">
        <v>61</v>
      </c>
      <c r="C64" s="20">
        <v>31000</v>
      </c>
      <c r="D64" s="20">
        <v>70</v>
      </c>
      <c r="E64" s="20">
        <v>70</v>
      </c>
      <c r="F64" s="20">
        <v>70</v>
      </c>
      <c r="G64" s="20">
        <v>70</v>
      </c>
      <c r="H64" s="20">
        <f t="shared" si="0"/>
        <v>12</v>
      </c>
      <c r="I64" s="20">
        <v>311</v>
      </c>
      <c r="J64" s="20">
        <v>932</v>
      </c>
    </row>
    <row r="65" spans="1:10" x14ac:dyDescent="0.3">
      <c r="A65" s="20">
        <v>62</v>
      </c>
      <c r="B65" s="20">
        <v>62</v>
      </c>
      <c r="C65" s="20">
        <v>31500</v>
      </c>
      <c r="D65" s="20">
        <v>71</v>
      </c>
      <c r="E65" s="20">
        <v>71</v>
      </c>
      <c r="F65" s="20">
        <v>71</v>
      </c>
      <c r="G65" s="20">
        <v>71</v>
      </c>
      <c r="H65" s="20">
        <f t="shared" si="0"/>
        <v>12</v>
      </c>
      <c r="I65" s="20">
        <v>318</v>
      </c>
      <c r="J65" s="20">
        <v>954</v>
      </c>
    </row>
    <row r="66" spans="1:10" x14ac:dyDescent="0.3">
      <c r="A66" s="20">
        <v>63</v>
      </c>
      <c r="B66" s="20">
        <v>63</v>
      </c>
      <c r="C66" s="20">
        <v>32000</v>
      </c>
      <c r="D66" s="20">
        <v>72</v>
      </c>
      <c r="E66" s="20">
        <v>72</v>
      </c>
      <c r="F66" s="20">
        <v>72</v>
      </c>
      <c r="G66" s="20">
        <v>72</v>
      </c>
      <c r="H66" s="20">
        <f t="shared" si="0"/>
        <v>12</v>
      </c>
      <c r="I66" s="20">
        <v>325</v>
      </c>
      <c r="J66" s="20">
        <v>976</v>
      </c>
    </row>
    <row r="67" spans="1:10" x14ac:dyDescent="0.3">
      <c r="A67" s="20">
        <v>64</v>
      </c>
      <c r="B67" s="20">
        <v>64</v>
      </c>
      <c r="C67" s="20">
        <v>32500</v>
      </c>
      <c r="D67" s="20">
        <v>73</v>
      </c>
      <c r="E67" s="20">
        <v>73</v>
      </c>
      <c r="F67" s="20">
        <v>73</v>
      </c>
      <c r="G67" s="20">
        <v>73</v>
      </c>
      <c r="H67" s="20">
        <f t="shared" si="0"/>
        <v>12</v>
      </c>
      <c r="I67" s="20">
        <v>333</v>
      </c>
      <c r="J67" s="20">
        <v>998</v>
      </c>
    </row>
    <row r="68" spans="1:10" x14ac:dyDescent="0.3">
      <c r="A68" s="20">
        <v>65</v>
      </c>
      <c r="B68" s="20">
        <v>65</v>
      </c>
      <c r="C68" s="20">
        <v>33000</v>
      </c>
      <c r="D68" s="20">
        <v>74</v>
      </c>
      <c r="E68" s="20">
        <v>74</v>
      </c>
      <c r="F68" s="20">
        <v>74</v>
      </c>
      <c r="G68" s="20">
        <v>74</v>
      </c>
      <c r="H68" s="20">
        <f t="shared" si="0"/>
        <v>13</v>
      </c>
      <c r="I68" s="20">
        <v>340</v>
      </c>
      <c r="J68" s="20">
        <v>1021</v>
      </c>
    </row>
    <row r="69" spans="1:10" x14ac:dyDescent="0.3">
      <c r="A69" s="20">
        <v>66</v>
      </c>
      <c r="B69" s="20">
        <v>66</v>
      </c>
      <c r="C69" s="20">
        <v>33500</v>
      </c>
      <c r="D69" s="20">
        <v>75</v>
      </c>
      <c r="E69" s="20">
        <v>75</v>
      </c>
      <c r="F69" s="20">
        <v>75</v>
      </c>
      <c r="G69" s="20">
        <v>75</v>
      </c>
      <c r="H69" s="20">
        <f t="shared" si="0"/>
        <v>13</v>
      </c>
      <c r="I69" s="20">
        <v>348</v>
      </c>
      <c r="J69" s="20">
        <v>1044</v>
      </c>
    </row>
    <row r="70" spans="1:10" x14ac:dyDescent="0.3">
      <c r="A70" s="20">
        <v>67</v>
      </c>
      <c r="B70" s="20">
        <v>67</v>
      </c>
      <c r="C70" s="20">
        <v>34000</v>
      </c>
      <c r="D70" s="20">
        <v>76</v>
      </c>
      <c r="E70" s="20">
        <v>76</v>
      </c>
      <c r="F70" s="20">
        <v>76</v>
      </c>
      <c r="G70" s="20">
        <v>76</v>
      </c>
      <c r="H70" s="20">
        <f t="shared" si="0"/>
        <v>13</v>
      </c>
      <c r="I70" s="20">
        <v>356</v>
      </c>
      <c r="J70" s="20">
        <v>1067</v>
      </c>
    </row>
    <row r="71" spans="1:10" x14ac:dyDescent="0.3">
      <c r="A71" s="20">
        <v>68</v>
      </c>
      <c r="B71" s="20">
        <v>68</v>
      </c>
      <c r="C71" s="20">
        <v>34500</v>
      </c>
      <c r="D71" s="20">
        <v>77</v>
      </c>
      <c r="E71" s="20">
        <v>77</v>
      </c>
      <c r="F71" s="20">
        <v>77</v>
      </c>
      <c r="G71" s="20">
        <v>77</v>
      </c>
      <c r="H71" s="20">
        <f t="shared" si="0"/>
        <v>13</v>
      </c>
      <c r="I71" s="20">
        <v>364</v>
      </c>
      <c r="J71" s="20">
        <v>1091</v>
      </c>
    </row>
    <row r="72" spans="1:10" x14ac:dyDescent="0.3">
      <c r="A72" s="20">
        <v>69</v>
      </c>
      <c r="B72" s="20">
        <v>69</v>
      </c>
      <c r="C72" s="20">
        <v>35000</v>
      </c>
      <c r="D72" s="20">
        <v>78</v>
      </c>
      <c r="E72" s="20">
        <v>78</v>
      </c>
      <c r="F72" s="20">
        <v>78</v>
      </c>
      <c r="G72" s="20">
        <v>78</v>
      </c>
      <c r="H72" s="20">
        <f t="shared" si="0"/>
        <v>13</v>
      </c>
      <c r="I72" s="20">
        <v>372</v>
      </c>
      <c r="J72" s="20">
        <v>1115</v>
      </c>
    </row>
    <row r="73" spans="1:10" x14ac:dyDescent="0.3">
      <c r="A73" s="20">
        <v>70</v>
      </c>
      <c r="B73" s="20">
        <v>70</v>
      </c>
      <c r="C73" s="20">
        <v>35500</v>
      </c>
      <c r="D73" s="20">
        <v>79</v>
      </c>
      <c r="E73" s="20">
        <v>79</v>
      </c>
      <c r="F73" s="20">
        <v>79</v>
      </c>
      <c r="G73" s="20">
        <v>79</v>
      </c>
      <c r="H73" s="20">
        <f t="shared" si="0"/>
        <v>14</v>
      </c>
      <c r="I73" s="20">
        <v>380</v>
      </c>
      <c r="J73" s="20">
        <v>1139</v>
      </c>
    </row>
    <row r="74" spans="1:10" x14ac:dyDescent="0.3">
      <c r="A74" s="20">
        <v>71</v>
      </c>
      <c r="B74" s="20">
        <v>71</v>
      </c>
      <c r="C74" s="20">
        <v>36000</v>
      </c>
      <c r="D74" s="20">
        <v>80</v>
      </c>
      <c r="E74" s="20">
        <v>80</v>
      </c>
      <c r="F74" s="20">
        <v>80</v>
      </c>
      <c r="G74" s="20">
        <v>80</v>
      </c>
      <c r="H74" s="20">
        <f t="shared" ref="H74:H137" si="1">H69+1</f>
        <v>14</v>
      </c>
      <c r="I74" s="20">
        <v>388</v>
      </c>
      <c r="J74" s="20">
        <v>1164</v>
      </c>
    </row>
    <row r="75" spans="1:10" x14ac:dyDescent="0.3">
      <c r="A75" s="20">
        <v>72</v>
      </c>
      <c r="B75" s="20">
        <v>72</v>
      </c>
      <c r="C75" s="20">
        <v>36500</v>
      </c>
      <c r="D75" s="20">
        <v>81</v>
      </c>
      <c r="E75" s="20">
        <v>81</v>
      </c>
      <c r="F75" s="20">
        <v>81</v>
      </c>
      <c r="G75" s="20">
        <v>81</v>
      </c>
      <c r="H75" s="20">
        <f t="shared" si="1"/>
        <v>14</v>
      </c>
      <c r="I75" s="20">
        <v>396</v>
      </c>
      <c r="J75" s="20">
        <v>1188</v>
      </c>
    </row>
    <row r="76" spans="1:10" x14ac:dyDescent="0.3">
      <c r="A76" s="20">
        <v>73</v>
      </c>
      <c r="B76" s="20">
        <v>73</v>
      </c>
      <c r="C76" s="20">
        <v>37000</v>
      </c>
      <c r="D76" s="20">
        <v>82</v>
      </c>
      <c r="E76" s="20">
        <v>82</v>
      </c>
      <c r="F76" s="20">
        <v>82</v>
      </c>
      <c r="G76" s="20">
        <v>82</v>
      </c>
      <c r="H76" s="20">
        <f t="shared" si="1"/>
        <v>14</v>
      </c>
      <c r="I76" s="20">
        <v>404</v>
      </c>
      <c r="J76" s="20">
        <v>1213</v>
      </c>
    </row>
    <row r="77" spans="1:10" x14ac:dyDescent="0.3">
      <c r="A77" s="20">
        <v>74</v>
      </c>
      <c r="B77" s="20">
        <v>74</v>
      </c>
      <c r="C77" s="20">
        <v>37500</v>
      </c>
      <c r="D77" s="20">
        <v>83</v>
      </c>
      <c r="E77" s="20">
        <v>83</v>
      </c>
      <c r="F77" s="20">
        <v>83</v>
      </c>
      <c r="G77" s="20">
        <v>83</v>
      </c>
      <c r="H77" s="20">
        <f t="shared" si="1"/>
        <v>14</v>
      </c>
      <c r="I77" s="20">
        <v>413</v>
      </c>
      <c r="J77" s="20">
        <v>1239</v>
      </c>
    </row>
    <row r="78" spans="1:10" x14ac:dyDescent="0.3">
      <c r="A78" s="20">
        <v>75</v>
      </c>
      <c r="B78" s="20">
        <v>75</v>
      </c>
      <c r="C78" s="20">
        <v>38000</v>
      </c>
      <c r="D78" s="20">
        <v>84</v>
      </c>
      <c r="E78" s="20">
        <v>84</v>
      </c>
      <c r="F78" s="20">
        <v>84</v>
      </c>
      <c r="G78" s="20">
        <v>84</v>
      </c>
      <c r="H78" s="20">
        <f t="shared" si="1"/>
        <v>15</v>
      </c>
      <c r="I78" s="20">
        <v>421</v>
      </c>
      <c r="J78" s="20">
        <v>1264</v>
      </c>
    </row>
    <row r="79" spans="1:10" x14ac:dyDescent="0.3">
      <c r="A79" s="20">
        <v>76</v>
      </c>
      <c r="B79" s="20">
        <v>76</v>
      </c>
      <c r="C79" s="20">
        <v>38500</v>
      </c>
      <c r="D79" s="20">
        <v>85</v>
      </c>
      <c r="E79" s="20">
        <v>85</v>
      </c>
      <c r="F79" s="20">
        <v>85</v>
      </c>
      <c r="G79" s="20">
        <v>85</v>
      </c>
      <c r="H79" s="20">
        <f t="shared" si="1"/>
        <v>15</v>
      </c>
      <c r="I79" s="20">
        <v>430</v>
      </c>
      <c r="J79" s="20">
        <v>1290</v>
      </c>
    </row>
    <row r="80" spans="1:10" x14ac:dyDescent="0.3">
      <c r="A80" s="20">
        <v>77</v>
      </c>
      <c r="B80" s="20">
        <v>77</v>
      </c>
      <c r="C80" s="20">
        <v>39000</v>
      </c>
      <c r="D80" s="20">
        <v>86</v>
      </c>
      <c r="E80" s="20">
        <v>86</v>
      </c>
      <c r="F80" s="20">
        <v>86</v>
      </c>
      <c r="G80" s="20">
        <v>86</v>
      </c>
      <c r="H80" s="20">
        <f t="shared" si="1"/>
        <v>15</v>
      </c>
      <c r="I80" s="20">
        <v>439</v>
      </c>
      <c r="J80" s="20">
        <v>1316</v>
      </c>
    </row>
    <row r="81" spans="1:10" x14ac:dyDescent="0.3">
      <c r="A81" s="20">
        <v>78</v>
      </c>
      <c r="B81" s="20">
        <v>78</v>
      </c>
      <c r="C81" s="20">
        <v>39500</v>
      </c>
      <c r="D81" s="20">
        <v>87</v>
      </c>
      <c r="E81" s="20">
        <v>87</v>
      </c>
      <c r="F81" s="20">
        <v>87</v>
      </c>
      <c r="G81" s="20">
        <v>87</v>
      </c>
      <c r="H81" s="20">
        <f t="shared" si="1"/>
        <v>15</v>
      </c>
      <c r="I81" s="20">
        <v>448</v>
      </c>
      <c r="J81" s="20">
        <v>1343</v>
      </c>
    </row>
    <row r="82" spans="1:10" x14ac:dyDescent="0.3">
      <c r="A82" s="20">
        <v>79</v>
      </c>
      <c r="B82" s="20">
        <v>79</v>
      </c>
      <c r="C82" s="20">
        <v>40000</v>
      </c>
      <c r="D82" s="20">
        <v>88</v>
      </c>
      <c r="E82" s="20">
        <v>88</v>
      </c>
      <c r="F82" s="20">
        <v>88</v>
      </c>
      <c r="G82" s="20">
        <v>88</v>
      </c>
      <c r="H82" s="20">
        <f t="shared" si="1"/>
        <v>15</v>
      </c>
      <c r="I82" s="20">
        <v>456</v>
      </c>
      <c r="J82" s="20">
        <v>1369</v>
      </c>
    </row>
    <row r="83" spans="1:10" x14ac:dyDescent="0.3">
      <c r="A83" s="20">
        <v>80</v>
      </c>
      <c r="B83" s="20">
        <v>80</v>
      </c>
      <c r="C83" s="20">
        <v>40500</v>
      </c>
      <c r="D83" s="20">
        <v>89</v>
      </c>
      <c r="E83" s="20">
        <v>89</v>
      </c>
      <c r="F83" s="20">
        <v>89</v>
      </c>
      <c r="G83" s="20">
        <v>89</v>
      </c>
      <c r="H83" s="20">
        <f t="shared" si="1"/>
        <v>16</v>
      </c>
      <c r="I83" s="20">
        <v>465</v>
      </c>
      <c r="J83" s="20">
        <v>1396</v>
      </c>
    </row>
    <row r="84" spans="1:10" x14ac:dyDescent="0.3">
      <c r="A84" s="20">
        <v>81</v>
      </c>
      <c r="B84" s="20">
        <v>81</v>
      </c>
      <c r="C84" s="20">
        <v>41000</v>
      </c>
      <c r="D84" s="20">
        <v>90</v>
      </c>
      <c r="E84" s="20">
        <v>90</v>
      </c>
      <c r="F84" s="20">
        <v>90</v>
      </c>
      <c r="G84" s="20">
        <v>90</v>
      </c>
      <c r="H84" s="20">
        <f t="shared" si="1"/>
        <v>16</v>
      </c>
      <c r="I84" s="20">
        <v>475</v>
      </c>
      <c r="J84" s="20">
        <v>1424</v>
      </c>
    </row>
    <row r="85" spans="1:10" x14ac:dyDescent="0.3">
      <c r="A85" s="20">
        <v>82</v>
      </c>
      <c r="B85" s="20">
        <v>82</v>
      </c>
      <c r="C85" s="20">
        <v>41500</v>
      </c>
      <c r="D85" s="20">
        <v>91</v>
      </c>
      <c r="E85" s="20">
        <v>91</v>
      </c>
      <c r="F85" s="20">
        <v>91</v>
      </c>
      <c r="G85" s="20">
        <v>91</v>
      </c>
      <c r="H85" s="20">
        <f t="shared" si="1"/>
        <v>16</v>
      </c>
      <c r="I85" s="20">
        <v>484</v>
      </c>
      <c r="J85" s="20">
        <v>1451</v>
      </c>
    </row>
    <row r="86" spans="1:10" x14ac:dyDescent="0.3">
      <c r="A86" s="20">
        <v>83</v>
      </c>
      <c r="B86" s="20">
        <v>83</v>
      </c>
      <c r="C86" s="20">
        <v>42000</v>
      </c>
      <c r="D86" s="20">
        <v>92</v>
      </c>
      <c r="E86" s="20">
        <v>92</v>
      </c>
      <c r="F86" s="20">
        <v>92</v>
      </c>
      <c r="G86" s="20">
        <v>92</v>
      </c>
      <c r="H86" s="20">
        <f t="shared" si="1"/>
        <v>16</v>
      </c>
      <c r="I86" s="20">
        <v>493</v>
      </c>
      <c r="J86" s="20">
        <v>1479</v>
      </c>
    </row>
    <row r="87" spans="1:10" x14ac:dyDescent="0.3">
      <c r="A87" s="20">
        <v>84</v>
      </c>
      <c r="B87" s="20">
        <v>84</v>
      </c>
      <c r="C87" s="20">
        <v>42500</v>
      </c>
      <c r="D87" s="20">
        <v>93</v>
      </c>
      <c r="E87" s="20">
        <v>93</v>
      </c>
      <c r="F87" s="20">
        <v>93</v>
      </c>
      <c r="G87" s="20">
        <v>93</v>
      </c>
      <c r="H87" s="20">
        <f t="shared" si="1"/>
        <v>16</v>
      </c>
      <c r="I87" s="20">
        <v>502</v>
      </c>
      <c r="J87" s="20">
        <v>1507</v>
      </c>
    </row>
    <row r="88" spans="1:10" x14ac:dyDescent="0.3">
      <c r="A88" s="20">
        <v>85</v>
      </c>
      <c r="B88" s="20">
        <v>85</v>
      </c>
      <c r="C88" s="20">
        <v>43000</v>
      </c>
      <c r="D88" s="20">
        <v>94</v>
      </c>
      <c r="E88" s="20">
        <v>94</v>
      </c>
      <c r="F88" s="20">
        <v>94</v>
      </c>
      <c r="G88" s="20">
        <v>94</v>
      </c>
      <c r="H88" s="20">
        <f t="shared" si="1"/>
        <v>17</v>
      </c>
      <c r="I88" s="20">
        <v>512</v>
      </c>
      <c r="J88" s="20">
        <v>1536</v>
      </c>
    </row>
    <row r="89" spans="1:10" x14ac:dyDescent="0.3">
      <c r="A89" s="20">
        <v>86</v>
      </c>
      <c r="B89" s="20">
        <v>86</v>
      </c>
      <c r="C89" s="20">
        <v>43500</v>
      </c>
      <c r="D89" s="20">
        <v>95</v>
      </c>
      <c r="E89" s="20">
        <v>95</v>
      </c>
      <c r="F89" s="20">
        <v>95</v>
      </c>
      <c r="G89" s="20">
        <v>95</v>
      </c>
      <c r="H89" s="20">
        <f t="shared" si="1"/>
        <v>17</v>
      </c>
      <c r="I89" s="20">
        <v>521</v>
      </c>
      <c r="J89" s="20">
        <v>1564</v>
      </c>
    </row>
    <row r="90" spans="1:10" x14ac:dyDescent="0.3">
      <c r="A90" s="20">
        <v>87</v>
      </c>
      <c r="B90" s="20">
        <v>87</v>
      </c>
      <c r="C90" s="20">
        <v>44000</v>
      </c>
      <c r="D90" s="20">
        <v>96</v>
      </c>
      <c r="E90" s="20">
        <v>96</v>
      </c>
      <c r="F90" s="20">
        <v>96</v>
      </c>
      <c r="G90" s="20">
        <v>96</v>
      </c>
      <c r="H90" s="20">
        <f t="shared" si="1"/>
        <v>17</v>
      </c>
      <c r="I90" s="20">
        <v>531</v>
      </c>
      <c r="J90" s="20">
        <v>1593</v>
      </c>
    </row>
    <row r="91" spans="1:10" x14ac:dyDescent="0.3">
      <c r="A91" s="20">
        <v>88</v>
      </c>
      <c r="B91" s="20">
        <v>88</v>
      </c>
      <c r="C91" s="20">
        <v>44500</v>
      </c>
      <c r="D91" s="20">
        <v>97</v>
      </c>
      <c r="E91" s="20">
        <v>97</v>
      </c>
      <c r="F91" s="20">
        <v>97</v>
      </c>
      <c r="G91" s="20">
        <v>97</v>
      </c>
      <c r="H91" s="20">
        <f t="shared" si="1"/>
        <v>17</v>
      </c>
      <c r="I91" s="20">
        <v>541</v>
      </c>
      <c r="J91" s="20">
        <v>1623</v>
      </c>
    </row>
    <row r="92" spans="1:10" x14ac:dyDescent="0.3">
      <c r="A92" s="20">
        <v>89</v>
      </c>
      <c r="B92" s="20">
        <v>89</v>
      </c>
      <c r="C92" s="20">
        <v>45000</v>
      </c>
      <c r="D92" s="20">
        <v>98</v>
      </c>
      <c r="E92" s="20">
        <v>98</v>
      </c>
      <c r="F92" s="20">
        <v>98</v>
      </c>
      <c r="G92" s="20">
        <v>98</v>
      </c>
      <c r="H92" s="20">
        <f t="shared" si="1"/>
        <v>17</v>
      </c>
      <c r="I92" s="20">
        <v>551</v>
      </c>
      <c r="J92" s="20">
        <v>1652</v>
      </c>
    </row>
    <row r="93" spans="1:10" x14ac:dyDescent="0.3">
      <c r="A93" s="20">
        <v>90</v>
      </c>
      <c r="B93" s="20">
        <v>90</v>
      </c>
      <c r="C93" s="20">
        <v>45500</v>
      </c>
      <c r="D93" s="20">
        <v>99</v>
      </c>
      <c r="E93" s="20">
        <v>99</v>
      </c>
      <c r="F93" s="20">
        <v>99</v>
      </c>
      <c r="G93" s="20">
        <v>99</v>
      </c>
      <c r="H93" s="20">
        <f t="shared" si="1"/>
        <v>18</v>
      </c>
      <c r="I93" s="20">
        <v>561</v>
      </c>
      <c r="J93" s="20">
        <v>1682</v>
      </c>
    </row>
    <row r="94" spans="1:10" x14ac:dyDescent="0.3">
      <c r="A94" s="20">
        <v>91</v>
      </c>
      <c r="B94" s="20">
        <v>91</v>
      </c>
      <c r="C94" s="20">
        <v>46000</v>
      </c>
      <c r="D94" s="20">
        <v>100</v>
      </c>
      <c r="E94" s="20">
        <v>100</v>
      </c>
      <c r="F94" s="20">
        <v>100</v>
      </c>
      <c r="G94" s="20">
        <v>100</v>
      </c>
      <c r="H94" s="20">
        <f t="shared" si="1"/>
        <v>18</v>
      </c>
      <c r="I94" s="20">
        <v>571</v>
      </c>
      <c r="J94" s="20">
        <v>1712</v>
      </c>
    </row>
    <row r="95" spans="1:10" x14ac:dyDescent="0.3">
      <c r="A95" s="20">
        <v>92</v>
      </c>
      <c r="B95" s="20">
        <v>92</v>
      </c>
      <c r="C95" s="20">
        <v>46500</v>
      </c>
      <c r="D95" s="20">
        <v>101</v>
      </c>
      <c r="E95" s="20">
        <v>101</v>
      </c>
      <c r="F95" s="20">
        <v>101</v>
      </c>
      <c r="G95" s="20">
        <v>101</v>
      </c>
      <c r="H95" s="20">
        <f t="shared" si="1"/>
        <v>18</v>
      </c>
      <c r="I95" s="20">
        <v>581</v>
      </c>
      <c r="J95" s="20">
        <v>1743</v>
      </c>
    </row>
    <row r="96" spans="1:10" x14ac:dyDescent="0.3">
      <c r="A96" s="20">
        <v>93</v>
      </c>
      <c r="B96" s="20">
        <v>93</v>
      </c>
      <c r="C96" s="20">
        <v>47000</v>
      </c>
      <c r="D96" s="20">
        <v>102</v>
      </c>
      <c r="E96" s="20">
        <v>102</v>
      </c>
      <c r="F96" s="20">
        <v>102</v>
      </c>
      <c r="G96" s="20">
        <v>102</v>
      </c>
      <c r="H96" s="20">
        <f t="shared" si="1"/>
        <v>18</v>
      </c>
      <c r="I96" s="20">
        <v>591</v>
      </c>
      <c r="J96" s="20">
        <v>1773</v>
      </c>
    </row>
    <row r="97" spans="1:10" x14ac:dyDescent="0.3">
      <c r="A97" s="20">
        <v>94</v>
      </c>
      <c r="B97" s="20">
        <v>94</v>
      </c>
      <c r="C97" s="20">
        <v>47500</v>
      </c>
      <c r="D97" s="20">
        <v>103</v>
      </c>
      <c r="E97" s="20">
        <v>103</v>
      </c>
      <c r="F97" s="20">
        <v>103</v>
      </c>
      <c r="G97" s="20">
        <v>103</v>
      </c>
      <c r="H97" s="20">
        <f t="shared" si="1"/>
        <v>18</v>
      </c>
      <c r="I97" s="20">
        <v>601</v>
      </c>
      <c r="J97" s="20">
        <v>1804</v>
      </c>
    </row>
    <row r="98" spans="1:10" x14ac:dyDescent="0.3">
      <c r="A98" s="20">
        <v>95</v>
      </c>
      <c r="B98" s="20">
        <v>95</v>
      </c>
      <c r="C98" s="20">
        <v>48000</v>
      </c>
      <c r="D98" s="20">
        <v>104</v>
      </c>
      <c r="E98" s="20">
        <v>104</v>
      </c>
      <c r="F98" s="20">
        <v>104</v>
      </c>
      <c r="G98" s="20">
        <v>104</v>
      </c>
      <c r="H98" s="20">
        <f t="shared" si="1"/>
        <v>19</v>
      </c>
      <c r="I98" s="20">
        <v>612</v>
      </c>
      <c r="J98" s="20">
        <v>1836</v>
      </c>
    </row>
    <row r="99" spans="1:10" x14ac:dyDescent="0.3">
      <c r="A99" s="20">
        <v>96</v>
      </c>
      <c r="B99" s="20">
        <v>96</v>
      </c>
      <c r="C99" s="20">
        <v>48500</v>
      </c>
      <c r="D99" s="20">
        <v>105</v>
      </c>
      <c r="E99" s="20">
        <v>105</v>
      </c>
      <c r="F99" s="20">
        <v>105</v>
      </c>
      <c r="G99" s="20">
        <v>105</v>
      </c>
      <c r="H99" s="20">
        <f t="shared" si="1"/>
        <v>19</v>
      </c>
      <c r="I99" s="20">
        <v>622</v>
      </c>
      <c r="J99" s="20">
        <v>1867</v>
      </c>
    </row>
    <row r="100" spans="1:10" x14ac:dyDescent="0.3">
      <c r="A100" s="20">
        <v>97</v>
      </c>
      <c r="B100" s="20">
        <v>97</v>
      </c>
      <c r="C100" s="20">
        <v>49000</v>
      </c>
      <c r="D100" s="20">
        <v>106</v>
      </c>
      <c r="E100" s="20">
        <v>106</v>
      </c>
      <c r="F100" s="20">
        <v>106</v>
      </c>
      <c r="G100" s="20">
        <v>106</v>
      </c>
      <c r="H100" s="20">
        <f t="shared" si="1"/>
        <v>19</v>
      </c>
      <c r="I100" s="20">
        <v>633</v>
      </c>
      <c r="J100" s="20">
        <v>1899</v>
      </c>
    </row>
    <row r="101" spans="1:10" x14ac:dyDescent="0.3">
      <c r="A101" s="20">
        <v>98</v>
      </c>
      <c r="B101" s="20">
        <v>98</v>
      </c>
      <c r="C101" s="20">
        <v>49500</v>
      </c>
      <c r="D101" s="20">
        <v>107</v>
      </c>
      <c r="E101" s="20">
        <v>107</v>
      </c>
      <c r="F101" s="20">
        <v>107</v>
      </c>
      <c r="G101" s="20">
        <v>107</v>
      </c>
      <c r="H101" s="20">
        <f t="shared" si="1"/>
        <v>19</v>
      </c>
      <c r="I101" s="20">
        <v>644</v>
      </c>
      <c r="J101" s="20">
        <v>1931</v>
      </c>
    </row>
    <row r="102" spans="1:10" x14ac:dyDescent="0.3">
      <c r="A102" s="20">
        <v>99</v>
      </c>
      <c r="B102" s="20">
        <v>99</v>
      </c>
      <c r="C102" s="20">
        <v>50000</v>
      </c>
      <c r="D102" s="20">
        <v>108</v>
      </c>
      <c r="E102" s="20">
        <v>108</v>
      </c>
      <c r="F102" s="20">
        <v>108</v>
      </c>
      <c r="G102" s="20">
        <v>108</v>
      </c>
      <c r="H102" s="20">
        <f t="shared" si="1"/>
        <v>19</v>
      </c>
      <c r="I102" s="20">
        <v>655</v>
      </c>
      <c r="J102" s="20">
        <v>1964</v>
      </c>
    </row>
    <row r="103" spans="1:10" x14ac:dyDescent="0.3">
      <c r="A103" s="20">
        <v>100</v>
      </c>
      <c r="B103" s="20">
        <v>100</v>
      </c>
      <c r="C103" s="20">
        <v>50500</v>
      </c>
      <c r="D103" s="20">
        <v>109</v>
      </c>
      <c r="E103" s="20">
        <v>109</v>
      </c>
      <c r="F103" s="20">
        <v>109</v>
      </c>
      <c r="G103" s="20">
        <v>109</v>
      </c>
      <c r="H103" s="20">
        <f t="shared" si="1"/>
        <v>20</v>
      </c>
      <c r="I103" s="20">
        <v>665</v>
      </c>
      <c r="J103" s="20">
        <v>1996</v>
      </c>
    </row>
    <row r="104" spans="1:10" x14ac:dyDescent="0.3">
      <c r="A104" s="20">
        <v>101</v>
      </c>
      <c r="B104" s="20">
        <v>101</v>
      </c>
      <c r="C104" s="20">
        <v>51000</v>
      </c>
      <c r="D104" s="20">
        <v>110</v>
      </c>
      <c r="E104" s="20">
        <v>110</v>
      </c>
      <c r="F104" s="20">
        <v>110</v>
      </c>
      <c r="G104" s="20">
        <v>110</v>
      </c>
      <c r="H104" s="20">
        <f t="shared" si="1"/>
        <v>20</v>
      </c>
      <c r="I104" s="20">
        <v>676</v>
      </c>
      <c r="J104" s="20">
        <v>2029</v>
      </c>
    </row>
    <row r="105" spans="1:10" x14ac:dyDescent="0.3">
      <c r="A105" s="20">
        <v>102</v>
      </c>
      <c r="B105" s="20">
        <v>102</v>
      </c>
      <c r="C105" s="20">
        <v>51500</v>
      </c>
      <c r="D105" s="20">
        <v>111</v>
      </c>
      <c r="E105" s="20">
        <v>111</v>
      </c>
      <c r="F105" s="20">
        <v>111</v>
      </c>
      <c r="G105" s="20">
        <v>111</v>
      </c>
      <c r="H105" s="20">
        <f t="shared" si="1"/>
        <v>20</v>
      </c>
      <c r="I105" s="20">
        <v>688</v>
      </c>
      <c r="J105" s="20">
        <v>2063</v>
      </c>
    </row>
    <row r="106" spans="1:10" x14ac:dyDescent="0.3">
      <c r="A106" s="20">
        <v>103</v>
      </c>
      <c r="B106" s="20">
        <v>103</v>
      </c>
      <c r="C106" s="20">
        <v>52000</v>
      </c>
      <c r="D106" s="20">
        <v>112</v>
      </c>
      <c r="E106" s="20">
        <v>112</v>
      </c>
      <c r="F106" s="20">
        <v>112</v>
      </c>
      <c r="G106" s="20">
        <v>112</v>
      </c>
      <c r="H106" s="20">
        <f t="shared" si="1"/>
        <v>20</v>
      </c>
      <c r="I106" s="20">
        <v>699</v>
      </c>
      <c r="J106" s="20">
        <v>2096</v>
      </c>
    </row>
    <row r="107" spans="1:10" x14ac:dyDescent="0.3">
      <c r="A107" s="20">
        <v>104</v>
      </c>
      <c r="B107" s="20">
        <v>104</v>
      </c>
      <c r="C107" s="20">
        <v>52500</v>
      </c>
      <c r="D107" s="20">
        <v>113</v>
      </c>
      <c r="E107" s="20">
        <v>113</v>
      </c>
      <c r="F107" s="20">
        <v>113</v>
      </c>
      <c r="G107" s="20">
        <v>113</v>
      </c>
      <c r="H107" s="20">
        <f t="shared" si="1"/>
        <v>20</v>
      </c>
      <c r="I107" s="20">
        <v>710</v>
      </c>
      <c r="J107" s="20">
        <v>2130</v>
      </c>
    </row>
    <row r="108" spans="1:10" x14ac:dyDescent="0.3">
      <c r="A108" s="20">
        <v>105</v>
      </c>
      <c r="B108" s="20">
        <v>105</v>
      </c>
      <c r="C108" s="20">
        <v>53000</v>
      </c>
      <c r="D108" s="20">
        <v>114</v>
      </c>
      <c r="E108" s="20">
        <v>114</v>
      </c>
      <c r="F108" s="20">
        <v>114</v>
      </c>
      <c r="G108" s="20">
        <v>114</v>
      </c>
      <c r="H108" s="20">
        <f t="shared" si="1"/>
        <v>21</v>
      </c>
      <c r="I108" s="20">
        <v>721</v>
      </c>
      <c r="J108" s="20">
        <v>2164</v>
      </c>
    </row>
    <row r="109" spans="1:10" x14ac:dyDescent="0.3">
      <c r="A109" s="20">
        <v>106</v>
      </c>
      <c r="B109" s="20">
        <v>106</v>
      </c>
      <c r="C109" s="20">
        <v>53500</v>
      </c>
      <c r="D109" s="20">
        <v>115</v>
      </c>
      <c r="E109" s="20">
        <v>115</v>
      </c>
      <c r="F109" s="20">
        <v>115</v>
      </c>
      <c r="G109" s="20">
        <v>115</v>
      </c>
      <c r="H109" s="20">
        <f t="shared" si="1"/>
        <v>21</v>
      </c>
      <c r="I109" s="20">
        <v>733</v>
      </c>
      <c r="J109" s="20">
        <v>2199</v>
      </c>
    </row>
    <row r="110" spans="1:10" x14ac:dyDescent="0.3">
      <c r="A110" s="20">
        <v>107</v>
      </c>
      <c r="B110" s="20">
        <v>107</v>
      </c>
      <c r="C110" s="20">
        <v>54000</v>
      </c>
      <c r="D110" s="20">
        <v>116</v>
      </c>
      <c r="E110" s="20">
        <v>116</v>
      </c>
      <c r="F110" s="20">
        <v>116</v>
      </c>
      <c r="G110" s="20">
        <v>116</v>
      </c>
      <c r="H110" s="20">
        <f t="shared" si="1"/>
        <v>21</v>
      </c>
      <c r="I110" s="20">
        <v>744</v>
      </c>
      <c r="J110" s="20">
        <v>2233</v>
      </c>
    </row>
    <row r="111" spans="1:10" x14ac:dyDescent="0.3">
      <c r="A111" s="20">
        <v>108</v>
      </c>
      <c r="B111" s="20">
        <v>108</v>
      </c>
      <c r="C111" s="20">
        <v>54500</v>
      </c>
      <c r="D111" s="20">
        <v>117</v>
      </c>
      <c r="E111" s="20">
        <v>117</v>
      </c>
      <c r="F111" s="20">
        <v>117</v>
      </c>
      <c r="G111" s="20">
        <v>117</v>
      </c>
      <c r="H111" s="20">
        <f t="shared" si="1"/>
        <v>21</v>
      </c>
      <c r="I111" s="20">
        <v>756</v>
      </c>
      <c r="J111" s="20">
        <v>2268</v>
      </c>
    </row>
    <row r="112" spans="1:10" x14ac:dyDescent="0.3">
      <c r="A112" s="20">
        <v>109</v>
      </c>
      <c r="B112" s="20">
        <v>109</v>
      </c>
      <c r="C112" s="20">
        <v>55000</v>
      </c>
      <c r="D112" s="20">
        <v>118</v>
      </c>
      <c r="E112" s="20">
        <v>118</v>
      </c>
      <c r="F112" s="20">
        <v>118</v>
      </c>
      <c r="G112" s="20">
        <v>118</v>
      </c>
      <c r="H112" s="20">
        <f t="shared" si="1"/>
        <v>21</v>
      </c>
      <c r="I112" s="20">
        <v>768</v>
      </c>
      <c r="J112" s="20">
        <v>2304</v>
      </c>
    </row>
    <row r="113" spans="1:10" x14ac:dyDescent="0.3">
      <c r="A113" s="20">
        <v>110</v>
      </c>
      <c r="B113" s="20">
        <v>110</v>
      </c>
      <c r="C113" s="20">
        <v>55500</v>
      </c>
      <c r="D113" s="20">
        <v>119</v>
      </c>
      <c r="E113" s="20">
        <v>119</v>
      </c>
      <c r="F113" s="20">
        <v>119</v>
      </c>
      <c r="G113" s="20">
        <v>119</v>
      </c>
      <c r="H113" s="20">
        <f t="shared" si="1"/>
        <v>22</v>
      </c>
      <c r="I113" s="20">
        <v>780</v>
      </c>
      <c r="J113" s="20">
        <v>2339</v>
      </c>
    </row>
    <row r="114" spans="1:10" x14ac:dyDescent="0.3">
      <c r="A114" s="20">
        <v>111</v>
      </c>
      <c r="B114" s="20">
        <v>111</v>
      </c>
      <c r="C114" s="20">
        <v>56000</v>
      </c>
      <c r="D114" s="20">
        <v>120</v>
      </c>
      <c r="E114" s="20">
        <v>120</v>
      </c>
      <c r="F114" s="20">
        <v>120</v>
      </c>
      <c r="G114" s="20">
        <v>120</v>
      </c>
      <c r="H114" s="20">
        <f t="shared" si="1"/>
        <v>22</v>
      </c>
      <c r="I114" s="20">
        <v>792</v>
      </c>
      <c r="J114" s="20">
        <v>2375</v>
      </c>
    </row>
    <row r="115" spans="1:10" x14ac:dyDescent="0.3">
      <c r="A115" s="20">
        <v>112</v>
      </c>
      <c r="B115" s="20">
        <v>112</v>
      </c>
      <c r="C115" s="20">
        <v>56500</v>
      </c>
      <c r="D115" s="20">
        <v>121</v>
      </c>
      <c r="E115" s="20">
        <v>121</v>
      </c>
      <c r="F115" s="20">
        <v>121</v>
      </c>
      <c r="G115" s="20">
        <v>121</v>
      </c>
      <c r="H115" s="20">
        <f t="shared" si="1"/>
        <v>22</v>
      </c>
      <c r="I115" s="20">
        <v>804</v>
      </c>
      <c r="J115" s="20">
        <v>2411</v>
      </c>
    </row>
    <row r="116" spans="1:10" x14ac:dyDescent="0.3">
      <c r="A116" s="20">
        <v>113</v>
      </c>
      <c r="B116" s="20">
        <v>113</v>
      </c>
      <c r="C116" s="20">
        <v>57000</v>
      </c>
      <c r="D116" s="20">
        <v>122</v>
      </c>
      <c r="E116" s="20">
        <v>122</v>
      </c>
      <c r="F116" s="20">
        <v>122</v>
      </c>
      <c r="G116" s="20">
        <v>122</v>
      </c>
      <c r="H116" s="20">
        <f t="shared" si="1"/>
        <v>22</v>
      </c>
      <c r="I116" s="20">
        <v>816</v>
      </c>
      <c r="J116" s="20">
        <v>2447</v>
      </c>
    </row>
    <row r="117" spans="1:10" x14ac:dyDescent="0.3">
      <c r="A117" s="20">
        <v>114</v>
      </c>
      <c r="B117" s="20">
        <v>114</v>
      </c>
      <c r="C117" s="20">
        <v>57500</v>
      </c>
      <c r="D117" s="20">
        <v>123</v>
      </c>
      <c r="E117" s="20">
        <v>123</v>
      </c>
      <c r="F117" s="20">
        <v>123</v>
      </c>
      <c r="G117" s="20">
        <v>123</v>
      </c>
      <c r="H117" s="20">
        <f t="shared" si="1"/>
        <v>22</v>
      </c>
      <c r="I117" s="20">
        <v>828</v>
      </c>
      <c r="J117" s="20">
        <v>2484</v>
      </c>
    </row>
    <row r="118" spans="1:10" x14ac:dyDescent="0.3">
      <c r="A118" s="20">
        <v>115</v>
      </c>
      <c r="B118" s="20">
        <v>115</v>
      </c>
      <c r="C118" s="20">
        <v>58000</v>
      </c>
      <c r="D118" s="20">
        <v>124</v>
      </c>
      <c r="E118" s="20">
        <v>124</v>
      </c>
      <c r="F118" s="20">
        <v>124</v>
      </c>
      <c r="G118" s="20">
        <v>124</v>
      </c>
      <c r="H118" s="20">
        <f t="shared" si="1"/>
        <v>23</v>
      </c>
      <c r="I118" s="20">
        <v>840</v>
      </c>
      <c r="J118" s="20">
        <v>2521</v>
      </c>
    </row>
    <row r="119" spans="1:10" x14ac:dyDescent="0.3">
      <c r="A119" s="20">
        <v>116</v>
      </c>
      <c r="B119" s="20">
        <v>116</v>
      </c>
      <c r="C119" s="20">
        <v>58500</v>
      </c>
      <c r="D119" s="20">
        <v>125</v>
      </c>
      <c r="E119" s="20">
        <v>125</v>
      </c>
      <c r="F119" s="20">
        <v>125</v>
      </c>
      <c r="G119" s="20">
        <v>125</v>
      </c>
      <c r="H119" s="20">
        <f t="shared" si="1"/>
        <v>23</v>
      </c>
      <c r="I119" s="20">
        <v>853</v>
      </c>
      <c r="J119" s="20">
        <v>2558</v>
      </c>
    </row>
    <row r="120" spans="1:10" x14ac:dyDescent="0.3">
      <c r="A120" s="20">
        <v>117</v>
      </c>
      <c r="B120" s="20">
        <v>117</v>
      </c>
      <c r="C120" s="20">
        <v>59000</v>
      </c>
      <c r="D120" s="20">
        <v>126</v>
      </c>
      <c r="E120" s="20">
        <v>126</v>
      </c>
      <c r="F120" s="20">
        <v>126</v>
      </c>
      <c r="G120" s="20">
        <v>126</v>
      </c>
      <c r="H120" s="20">
        <f t="shared" si="1"/>
        <v>23</v>
      </c>
      <c r="I120" s="20">
        <v>865</v>
      </c>
      <c r="J120" s="20">
        <v>2596</v>
      </c>
    </row>
    <row r="121" spans="1:10" x14ac:dyDescent="0.3">
      <c r="A121" s="20">
        <v>118</v>
      </c>
      <c r="B121" s="20">
        <v>118</v>
      </c>
      <c r="C121" s="20">
        <v>59500</v>
      </c>
      <c r="D121" s="20">
        <v>127</v>
      </c>
      <c r="E121" s="20">
        <v>127</v>
      </c>
      <c r="F121" s="20">
        <v>127</v>
      </c>
      <c r="G121" s="20">
        <v>127</v>
      </c>
      <c r="H121" s="20">
        <f t="shared" si="1"/>
        <v>23</v>
      </c>
      <c r="I121" s="20">
        <v>878</v>
      </c>
      <c r="J121" s="20">
        <v>2634</v>
      </c>
    </row>
    <row r="122" spans="1:10" x14ac:dyDescent="0.3">
      <c r="A122" s="20">
        <v>119</v>
      </c>
      <c r="B122" s="20">
        <v>119</v>
      </c>
      <c r="C122" s="20">
        <v>60000</v>
      </c>
      <c r="D122" s="20">
        <v>128</v>
      </c>
      <c r="E122" s="20">
        <v>128</v>
      </c>
      <c r="F122" s="20">
        <v>128</v>
      </c>
      <c r="G122" s="20">
        <v>128</v>
      </c>
      <c r="H122" s="20">
        <f t="shared" si="1"/>
        <v>23</v>
      </c>
      <c r="I122" s="20">
        <v>891</v>
      </c>
      <c r="J122" s="20">
        <v>2672</v>
      </c>
    </row>
    <row r="123" spans="1:10" x14ac:dyDescent="0.3">
      <c r="A123" s="20">
        <v>120</v>
      </c>
      <c r="B123" s="20">
        <v>120</v>
      </c>
      <c r="C123" s="20">
        <v>60500</v>
      </c>
      <c r="D123" s="20">
        <v>129</v>
      </c>
      <c r="E123" s="20">
        <v>129</v>
      </c>
      <c r="F123" s="20">
        <v>129</v>
      </c>
      <c r="G123" s="20">
        <v>129</v>
      </c>
      <c r="H123" s="20">
        <f t="shared" si="1"/>
        <v>24</v>
      </c>
      <c r="I123" s="20">
        <v>903</v>
      </c>
      <c r="J123" s="20">
        <v>2710</v>
      </c>
    </row>
    <row r="124" spans="1:10" x14ac:dyDescent="0.3">
      <c r="A124" s="20">
        <v>121</v>
      </c>
      <c r="B124" s="20">
        <v>121</v>
      </c>
      <c r="C124" s="20">
        <v>61000</v>
      </c>
      <c r="D124" s="20">
        <v>130</v>
      </c>
      <c r="E124" s="20">
        <v>130</v>
      </c>
      <c r="F124" s="20">
        <v>130</v>
      </c>
      <c r="G124" s="20">
        <v>130</v>
      </c>
      <c r="H124" s="20">
        <f t="shared" si="1"/>
        <v>24</v>
      </c>
      <c r="I124" s="20">
        <v>916</v>
      </c>
      <c r="J124" s="20">
        <v>2749</v>
      </c>
    </row>
    <row r="125" spans="1:10" x14ac:dyDescent="0.3">
      <c r="A125" s="20">
        <v>122</v>
      </c>
      <c r="B125" s="20">
        <v>122</v>
      </c>
      <c r="C125" s="20">
        <v>61500</v>
      </c>
      <c r="D125" s="20">
        <v>131</v>
      </c>
      <c r="E125" s="20">
        <v>131</v>
      </c>
      <c r="F125" s="20">
        <v>131</v>
      </c>
      <c r="G125" s="20">
        <v>131</v>
      </c>
      <c r="H125" s="20">
        <f t="shared" si="1"/>
        <v>24</v>
      </c>
      <c r="I125" s="20">
        <v>929</v>
      </c>
      <c r="J125" s="20">
        <v>2788</v>
      </c>
    </row>
    <row r="126" spans="1:10" x14ac:dyDescent="0.3">
      <c r="A126" s="20">
        <v>123</v>
      </c>
      <c r="B126" s="20">
        <v>123</v>
      </c>
      <c r="C126" s="20">
        <v>62000</v>
      </c>
      <c r="D126" s="20">
        <v>132</v>
      </c>
      <c r="E126" s="20">
        <v>132</v>
      </c>
      <c r="F126" s="20">
        <v>132</v>
      </c>
      <c r="G126" s="20">
        <v>132</v>
      </c>
      <c r="H126" s="20">
        <f t="shared" si="1"/>
        <v>24</v>
      </c>
      <c r="I126" s="20">
        <v>942</v>
      </c>
      <c r="J126" s="20">
        <v>2827</v>
      </c>
    </row>
    <row r="127" spans="1:10" x14ac:dyDescent="0.3">
      <c r="A127" s="20">
        <v>124</v>
      </c>
      <c r="B127" s="20">
        <v>124</v>
      </c>
      <c r="C127" s="20">
        <v>62500</v>
      </c>
      <c r="D127" s="20">
        <v>133</v>
      </c>
      <c r="E127" s="20">
        <v>133</v>
      </c>
      <c r="F127" s="20">
        <v>133</v>
      </c>
      <c r="G127" s="20">
        <v>133</v>
      </c>
      <c r="H127" s="20">
        <f t="shared" si="1"/>
        <v>24</v>
      </c>
      <c r="I127" s="20">
        <v>956</v>
      </c>
      <c r="J127" s="20">
        <v>2867</v>
      </c>
    </row>
    <row r="128" spans="1:10" x14ac:dyDescent="0.3">
      <c r="A128" s="20">
        <v>125</v>
      </c>
      <c r="B128" s="20">
        <v>125</v>
      </c>
      <c r="C128" s="20">
        <v>63000</v>
      </c>
      <c r="D128" s="20">
        <v>134</v>
      </c>
      <c r="E128" s="20">
        <v>134</v>
      </c>
      <c r="F128" s="20">
        <v>134</v>
      </c>
      <c r="G128" s="20">
        <v>134</v>
      </c>
      <c r="H128" s="20">
        <f t="shared" si="1"/>
        <v>25</v>
      </c>
      <c r="I128" s="20">
        <v>969</v>
      </c>
      <c r="J128" s="20">
        <v>2906</v>
      </c>
    </row>
    <row r="129" spans="1:10" x14ac:dyDescent="0.3">
      <c r="A129" s="20">
        <v>126</v>
      </c>
      <c r="B129" s="20">
        <v>126</v>
      </c>
      <c r="C129" s="20">
        <v>63500</v>
      </c>
      <c r="D129" s="20">
        <v>135</v>
      </c>
      <c r="E129" s="20">
        <v>135</v>
      </c>
      <c r="F129" s="20">
        <v>135</v>
      </c>
      <c r="G129" s="20">
        <v>135</v>
      </c>
      <c r="H129" s="20">
        <f t="shared" si="1"/>
        <v>25</v>
      </c>
      <c r="I129" s="20">
        <v>982</v>
      </c>
      <c r="J129" s="20">
        <v>2947</v>
      </c>
    </row>
    <row r="130" spans="1:10" x14ac:dyDescent="0.3">
      <c r="A130" s="20">
        <v>127</v>
      </c>
      <c r="B130" s="20">
        <v>127</v>
      </c>
      <c r="C130" s="20">
        <v>64000</v>
      </c>
      <c r="D130" s="20">
        <v>136</v>
      </c>
      <c r="E130" s="20">
        <v>136</v>
      </c>
      <c r="F130" s="20">
        <v>136</v>
      </c>
      <c r="G130" s="20">
        <v>136</v>
      </c>
      <c r="H130" s="20">
        <f t="shared" si="1"/>
        <v>25</v>
      </c>
      <c r="I130" s="20">
        <v>996</v>
      </c>
      <c r="J130" s="20">
        <v>2987</v>
      </c>
    </row>
    <row r="131" spans="1:10" x14ac:dyDescent="0.3">
      <c r="A131" s="20">
        <v>128</v>
      </c>
      <c r="B131" s="20">
        <v>128</v>
      </c>
      <c r="C131" s="20">
        <v>64500</v>
      </c>
      <c r="D131" s="20">
        <v>137</v>
      </c>
      <c r="E131" s="20">
        <v>137</v>
      </c>
      <c r="F131" s="20">
        <v>137</v>
      </c>
      <c r="G131" s="20">
        <v>137</v>
      </c>
      <c r="H131" s="20">
        <f t="shared" si="1"/>
        <v>25</v>
      </c>
      <c r="I131" s="20">
        <v>1009</v>
      </c>
      <c r="J131" s="20">
        <v>3028</v>
      </c>
    </row>
    <row r="132" spans="1:10" x14ac:dyDescent="0.3">
      <c r="A132" s="20">
        <v>129</v>
      </c>
      <c r="B132" s="20">
        <v>129</v>
      </c>
      <c r="C132" s="20">
        <v>65000</v>
      </c>
      <c r="D132" s="20">
        <v>138</v>
      </c>
      <c r="E132" s="20">
        <v>138</v>
      </c>
      <c r="F132" s="20">
        <v>138</v>
      </c>
      <c r="G132" s="20">
        <v>138</v>
      </c>
      <c r="H132" s="20">
        <f t="shared" si="1"/>
        <v>25</v>
      </c>
      <c r="I132" s="20">
        <v>1023</v>
      </c>
      <c r="J132" s="20">
        <v>3069</v>
      </c>
    </row>
    <row r="133" spans="1:10" x14ac:dyDescent="0.3">
      <c r="A133" s="20">
        <v>130</v>
      </c>
      <c r="B133" s="20">
        <v>130</v>
      </c>
      <c r="C133" s="20">
        <v>65500</v>
      </c>
      <c r="D133" s="20">
        <v>139</v>
      </c>
      <c r="E133" s="20">
        <v>139</v>
      </c>
      <c r="F133" s="20">
        <v>139</v>
      </c>
      <c r="G133" s="20">
        <v>139</v>
      </c>
      <c r="H133" s="20">
        <f t="shared" si="1"/>
        <v>26</v>
      </c>
      <c r="I133" s="20">
        <v>1037</v>
      </c>
      <c r="J133" s="20">
        <v>3110</v>
      </c>
    </row>
    <row r="134" spans="1:10" x14ac:dyDescent="0.3">
      <c r="A134" s="20">
        <v>131</v>
      </c>
      <c r="B134" s="20">
        <v>131</v>
      </c>
      <c r="C134" s="20">
        <v>66000</v>
      </c>
      <c r="D134" s="20">
        <v>140</v>
      </c>
      <c r="E134" s="20">
        <v>140</v>
      </c>
      <c r="F134" s="20">
        <v>140</v>
      </c>
      <c r="G134" s="20">
        <v>140</v>
      </c>
      <c r="H134" s="20">
        <f t="shared" si="1"/>
        <v>26</v>
      </c>
      <c r="I134" s="20">
        <v>1050</v>
      </c>
      <c r="J134" s="20">
        <v>3151</v>
      </c>
    </row>
    <row r="135" spans="1:10" x14ac:dyDescent="0.3">
      <c r="A135" s="20">
        <v>132</v>
      </c>
      <c r="B135" s="20">
        <v>132</v>
      </c>
      <c r="C135" s="20">
        <v>66500</v>
      </c>
      <c r="D135" s="20">
        <v>141</v>
      </c>
      <c r="E135" s="20">
        <v>141</v>
      </c>
      <c r="F135" s="20">
        <v>141</v>
      </c>
      <c r="G135" s="20">
        <v>141</v>
      </c>
      <c r="H135" s="20">
        <f t="shared" si="1"/>
        <v>26</v>
      </c>
      <c r="I135" s="20">
        <v>1064</v>
      </c>
      <c r="J135" s="20">
        <v>3193</v>
      </c>
    </row>
    <row r="136" spans="1:10" x14ac:dyDescent="0.3">
      <c r="A136" s="20">
        <v>133</v>
      </c>
      <c r="B136" s="20">
        <v>133</v>
      </c>
      <c r="C136" s="20">
        <v>67000</v>
      </c>
      <c r="D136" s="20">
        <v>142</v>
      </c>
      <c r="E136" s="20">
        <v>142</v>
      </c>
      <c r="F136" s="20">
        <v>142</v>
      </c>
      <c r="G136" s="20">
        <v>142</v>
      </c>
      <c r="H136" s="20">
        <f t="shared" si="1"/>
        <v>26</v>
      </c>
      <c r="I136" s="20">
        <v>1078</v>
      </c>
      <c r="J136" s="20">
        <v>3235</v>
      </c>
    </row>
    <row r="137" spans="1:10" x14ac:dyDescent="0.3">
      <c r="A137" s="20">
        <v>134</v>
      </c>
      <c r="B137" s="20">
        <v>134</v>
      </c>
      <c r="C137" s="20">
        <v>67500</v>
      </c>
      <c r="D137" s="20">
        <v>143</v>
      </c>
      <c r="E137" s="20">
        <v>143</v>
      </c>
      <c r="F137" s="20">
        <v>143</v>
      </c>
      <c r="G137" s="20">
        <v>143</v>
      </c>
      <c r="H137" s="20">
        <f t="shared" si="1"/>
        <v>26</v>
      </c>
      <c r="I137" s="20">
        <v>1093</v>
      </c>
      <c r="J137" s="20">
        <v>3278</v>
      </c>
    </row>
    <row r="138" spans="1:10" x14ac:dyDescent="0.3">
      <c r="A138" s="20">
        <v>135</v>
      </c>
      <c r="B138" s="20">
        <v>135</v>
      </c>
      <c r="C138" s="20">
        <v>68000</v>
      </c>
      <c r="D138" s="20">
        <v>144</v>
      </c>
      <c r="E138" s="20">
        <v>144</v>
      </c>
      <c r="F138" s="20">
        <v>144</v>
      </c>
      <c r="G138" s="20">
        <v>144</v>
      </c>
      <c r="H138" s="20">
        <f t="shared" ref="H138:H201" si="2">H133+1</f>
        <v>27</v>
      </c>
      <c r="I138" s="20">
        <v>1107</v>
      </c>
      <c r="J138" s="20">
        <v>3320</v>
      </c>
    </row>
    <row r="139" spans="1:10" x14ac:dyDescent="0.3">
      <c r="A139" s="20">
        <v>136</v>
      </c>
      <c r="B139" s="20">
        <v>136</v>
      </c>
      <c r="C139" s="20">
        <v>68500</v>
      </c>
      <c r="D139" s="20">
        <v>145</v>
      </c>
      <c r="E139" s="20">
        <v>145</v>
      </c>
      <c r="F139" s="20">
        <v>145</v>
      </c>
      <c r="G139" s="20">
        <v>145</v>
      </c>
      <c r="H139" s="20">
        <f t="shared" si="2"/>
        <v>27</v>
      </c>
      <c r="I139" s="20">
        <v>1121</v>
      </c>
      <c r="J139" s="20">
        <v>3363</v>
      </c>
    </row>
    <row r="140" spans="1:10" x14ac:dyDescent="0.3">
      <c r="A140" s="20">
        <v>137</v>
      </c>
      <c r="B140" s="20">
        <v>137</v>
      </c>
      <c r="C140" s="20">
        <v>69000</v>
      </c>
      <c r="D140" s="20">
        <v>146</v>
      </c>
      <c r="E140" s="20">
        <v>146</v>
      </c>
      <c r="F140" s="20">
        <v>146</v>
      </c>
      <c r="G140" s="20">
        <v>146</v>
      </c>
      <c r="H140" s="20">
        <f t="shared" si="2"/>
        <v>27</v>
      </c>
      <c r="I140" s="20">
        <v>1135</v>
      </c>
      <c r="J140" s="20">
        <v>3406</v>
      </c>
    </row>
    <row r="141" spans="1:10" x14ac:dyDescent="0.3">
      <c r="A141" s="20">
        <v>138</v>
      </c>
      <c r="B141" s="20">
        <v>138</v>
      </c>
      <c r="C141" s="20">
        <v>69500</v>
      </c>
      <c r="D141" s="20">
        <v>147</v>
      </c>
      <c r="E141" s="20">
        <v>147</v>
      </c>
      <c r="F141" s="20">
        <v>147</v>
      </c>
      <c r="G141" s="20">
        <v>147</v>
      </c>
      <c r="H141" s="20">
        <f t="shared" si="2"/>
        <v>27</v>
      </c>
      <c r="I141" s="20">
        <v>1150</v>
      </c>
      <c r="J141" s="20">
        <v>3450</v>
      </c>
    </row>
    <row r="142" spans="1:10" x14ac:dyDescent="0.3">
      <c r="A142" s="20">
        <v>139</v>
      </c>
      <c r="B142" s="20">
        <v>139</v>
      </c>
      <c r="C142" s="20">
        <v>70000</v>
      </c>
      <c r="D142" s="20">
        <v>148</v>
      </c>
      <c r="E142" s="20">
        <v>148</v>
      </c>
      <c r="F142" s="20">
        <v>148</v>
      </c>
      <c r="G142" s="20">
        <v>148</v>
      </c>
      <c r="H142" s="20">
        <f t="shared" si="2"/>
        <v>27</v>
      </c>
      <c r="I142" s="20">
        <v>1165</v>
      </c>
      <c r="J142" s="20">
        <v>3494</v>
      </c>
    </row>
    <row r="143" spans="1:10" x14ac:dyDescent="0.3">
      <c r="A143" s="20">
        <v>140</v>
      </c>
      <c r="B143" s="20">
        <v>140</v>
      </c>
      <c r="C143" s="20">
        <v>70500</v>
      </c>
      <c r="D143" s="20">
        <v>149</v>
      </c>
      <c r="E143" s="20">
        <v>149</v>
      </c>
      <c r="F143" s="20">
        <v>149</v>
      </c>
      <c r="G143" s="20">
        <v>149</v>
      </c>
      <c r="H143" s="20">
        <f t="shared" si="2"/>
        <v>28</v>
      </c>
      <c r="I143" s="20">
        <v>1179</v>
      </c>
      <c r="J143" s="20">
        <v>3538</v>
      </c>
    </row>
    <row r="144" spans="1:10" x14ac:dyDescent="0.3">
      <c r="A144" s="20">
        <v>141</v>
      </c>
      <c r="B144" s="20">
        <v>141</v>
      </c>
      <c r="C144" s="20">
        <v>71000</v>
      </c>
      <c r="D144" s="20">
        <v>150</v>
      </c>
      <c r="E144" s="20">
        <v>150</v>
      </c>
      <c r="F144" s="20">
        <v>150</v>
      </c>
      <c r="G144" s="20">
        <v>150</v>
      </c>
      <c r="H144" s="20">
        <f t="shared" si="2"/>
        <v>28</v>
      </c>
      <c r="I144" s="20">
        <v>1194</v>
      </c>
      <c r="J144" s="20">
        <v>3582</v>
      </c>
    </row>
    <row r="145" spans="1:10" x14ac:dyDescent="0.3">
      <c r="A145" s="20">
        <v>142</v>
      </c>
      <c r="B145" s="20">
        <v>142</v>
      </c>
      <c r="C145" s="20">
        <v>71500</v>
      </c>
      <c r="D145" s="20">
        <v>151</v>
      </c>
      <c r="E145" s="20">
        <v>151</v>
      </c>
      <c r="F145" s="20">
        <v>151</v>
      </c>
      <c r="G145" s="20">
        <v>151</v>
      </c>
      <c r="H145" s="20">
        <f t="shared" si="2"/>
        <v>28</v>
      </c>
      <c r="I145" s="20">
        <v>1209</v>
      </c>
      <c r="J145" s="20">
        <v>3627</v>
      </c>
    </row>
    <row r="146" spans="1:10" x14ac:dyDescent="0.3">
      <c r="A146" s="20">
        <v>143</v>
      </c>
      <c r="B146" s="20">
        <v>143</v>
      </c>
      <c r="C146" s="20">
        <v>72000</v>
      </c>
      <c r="D146" s="20">
        <v>152</v>
      </c>
      <c r="E146" s="20">
        <v>152</v>
      </c>
      <c r="F146" s="20">
        <v>152</v>
      </c>
      <c r="G146" s="20">
        <v>152</v>
      </c>
      <c r="H146" s="20">
        <f t="shared" si="2"/>
        <v>28</v>
      </c>
      <c r="I146" s="20">
        <v>1224</v>
      </c>
      <c r="J146" s="20">
        <v>3672</v>
      </c>
    </row>
    <row r="147" spans="1:10" x14ac:dyDescent="0.3">
      <c r="A147" s="20">
        <v>144</v>
      </c>
      <c r="B147" s="20">
        <v>144</v>
      </c>
      <c r="C147" s="20">
        <v>72500</v>
      </c>
      <c r="D147" s="20">
        <v>153</v>
      </c>
      <c r="E147" s="20">
        <v>153</v>
      </c>
      <c r="F147" s="20">
        <v>153</v>
      </c>
      <c r="G147" s="20">
        <v>153</v>
      </c>
      <c r="H147" s="20">
        <f t="shared" si="2"/>
        <v>28</v>
      </c>
      <c r="I147" s="20">
        <v>1239</v>
      </c>
      <c r="J147" s="20">
        <v>3717</v>
      </c>
    </row>
    <row r="148" spans="1:10" x14ac:dyDescent="0.3">
      <c r="A148" s="20">
        <v>145</v>
      </c>
      <c r="B148" s="20">
        <v>145</v>
      </c>
      <c r="C148" s="20">
        <v>73000</v>
      </c>
      <c r="D148" s="20">
        <v>154</v>
      </c>
      <c r="E148" s="20">
        <v>154</v>
      </c>
      <c r="F148" s="20">
        <v>154</v>
      </c>
      <c r="G148" s="20">
        <v>154</v>
      </c>
      <c r="H148" s="20">
        <f t="shared" si="2"/>
        <v>29</v>
      </c>
      <c r="I148" s="20">
        <v>1254</v>
      </c>
      <c r="J148" s="20">
        <v>3763</v>
      </c>
    </row>
    <row r="149" spans="1:10" x14ac:dyDescent="0.3">
      <c r="A149" s="20">
        <v>146</v>
      </c>
      <c r="B149" s="20">
        <v>146</v>
      </c>
      <c r="C149" s="20">
        <v>73500</v>
      </c>
      <c r="D149" s="20">
        <v>155</v>
      </c>
      <c r="E149" s="20">
        <v>155</v>
      </c>
      <c r="F149" s="20">
        <v>155</v>
      </c>
      <c r="G149" s="20">
        <v>155</v>
      </c>
      <c r="H149" s="20">
        <f t="shared" si="2"/>
        <v>29</v>
      </c>
      <c r="I149" s="20">
        <v>1269</v>
      </c>
      <c r="J149" s="20">
        <v>3808</v>
      </c>
    </row>
    <row r="150" spans="1:10" x14ac:dyDescent="0.3">
      <c r="A150" s="20">
        <v>147</v>
      </c>
      <c r="B150" s="20">
        <v>147</v>
      </c>
      <c r="C150" s="20">
        <v>74000</v>
      </c>
      <c r="D150" s="20">
        <v>156</v>
      </c>
      <c r="E150" s="20">
        <v>156</v>
      </c>
      <c r="F150" s="20">
        <v>156</v>
      </c>
      <c r="G150" s="20">
        <v>156</v>
      </c>
      <c r="H150" s="20">
        <f t="shared" si="2"/>
        <v>29</v>
      </c>
      <c r="I150" s="20">
        <v>1285</v>
      </c>
      <c r="J150" s="20">
        <v>3854</v>
      </c>
    </row>
    <row r="151" spans="1:10" x14ac:dyDescent="0.3">
      <c r="A151" s="20">
        <v>148</v>
      </c>
      <c r="B151" s="20">
        <v>148</v>
      </c>
      <c r="C151" s="20">
        <v>74500</v>
      </c>
      <c r="D151" s="20">
        <v>157</v>
      </c>
      <c r="E151" s="20">
        <v>157</v>
      </c>
      <c r="F151" s="20">
        <v>157</v>
      </c>
      <c r="G151" s="20">
        <v>157</v>
      </c>
      <c r="H151" s="20">
        <f t="shared" si="2"/>
        <v>29</v>
      </c>
      <c r="I151" s="20">
        <v>1300</v>
      </c>
      <c r="J151" s="20">
        <v>3901</v>
      </c>
    </row>
    <row r="152" spans="1:10" x14ac:dyDescent="0.3">
      <c r="A152" s="20">
        <v>149</v>
      </c>
      <c r="B152" s="20">
        <v>149</v>
      </c>
      <c r="C152" s="20">
        <v>75000</v>
      </c>
      <c r="D152" s="20">
        <v>158</v>
      </c>
      <c r="E152" s="20">
        <v>158</v>
      </c>
      <c r="F152" s="20">
        <v>158</v>
      </c>
      <c r="G152" s="20">
        <v>158</v>
      </c>
      <c r="H152" s="20">
        <f t="shared" si="2"/>
        <v>29</v>
      </c>
      <c r="I152" s="20">
        <v>1316</v>
      </c>
      <c r="J152" s="20">
        <v>3947</v>
      </c>
    </row>
    <row r="153" spans="1:10" x14ac:dyDescent="0.3">
      <c r="A153" s="20">
        <v>150</v>
      </c>
      <c r="B153" s="20">
        <v>150</v>
      </c>
      <c r="C153" s="20">
        <v>75500</v>
      </c>
      <c r="D153" s="20">
        <v>159</v>
      </c>
      <c r="E153" s="20">
        <v>159</v>
      </c>
      <c r="F153" s="20">
        <v>159</v>
      </c>
      <c r="G153" s="20">
        <v>159</v>
      </c>
      <c r="H153" s="20">
        <f t="shared" si="2"/>
        <v>30</v>
      </c>
      <c r="I153" s="20">
        <v>1331</v>
      </c>
      <c r="J153" s="20">
        <v>3994</v>
      </c>
    </row>
    <row r="154" spans="1:10" x14ac:dyDescent="0.3">
      <c r="A154" s="20">
        <v>151</v>
      </c>
      <c r="B154" s="20">
        <v>151</v>
      </c>
      <c r="C154" s="20">
        <v>76000</v>
      </c>
      <c r="D154" s="20">
        <v>160</v>
      </c>
      <c r="E154" s="20">
        <v>160</v>
      </c>
      <c r="F154" s="20">
        <v>160</v>
      </c>
      <c r="G154" s="20">
        <v>160</v>
      </c>
      <c r="H154" s="20">
        <f t="shared" si="2"/>
        <v>30</v>
      </c>
      <c r="I154" s="20">
        <v>1346</v>
      </c>
      <c r="J154" s="20">
        <v>4041</v>
      </c>
    </row>
    <row r="155" spans="1:10" x14ac:dyDescent="0.3">
      <c r="A155" s="20">
        <v>152</v>
      </c>
      <c r="B155" s="20">
        <v>152</v>
      </c>
      <c r="C155" s="20">
        <v>76500</v>
      </c>
      <c r="D155" s="20">
        <v>161</v>
      </c>
      <c r="E155" s="20">
        <v>161</v>
      </c>
      <c r="F155" s="20">
        <v>161</v>
      </c>
      <c r="G155" s="20">
        <v>161</v>
      </c>
      <c r="H155" s="20">
        <f t="shared" si="2"/>
        <v>30</v>
      </c>
      <c r="I155" s="20">
        <v>1361</v>
      </c>
      <c r="J155" s="20">
        <v>4088</v>
      </c>
    </row>
    <row r="156" spans="1:10" x14ac:dyDescent="0.3">
      <c r="A156" s="20">
        <v>153</v>
      </c>
      <c r="B156" s="20">
        <v>153</v>
      </c>
      <c r="C156" s="20">
        <v>77000</v>
      </c>
      <c r="D156" s="20">
        <v>162</v>
      </c>
      <c r="E156" s="20">
        <v>162</v>
      </c>
      <c r="F156" s="20">
        <v>162</v>
      </c>
      <c r="G156" s="20">
        <v>162</v>
      </c>
      <c r="H156" s="20">
        <f t="shared" si="2"/>
        <v>30</v>
      </c>
      <c r="I156" s="20">
        <v>1376</v>
      </c>
      <c r="J156" s="20">
        <v>4135</v>
      </c>
    </row>
    <row r="157" spans="1:10" x14ac:dyDescent="0.3">
      <c r="A157" s="20">
        <v>154</v>
      </c>
      <c r="B157" s="20">
        <v>154</v>
      </c>
      <c r="C157" s="20">
        <v>77500</v>
      </c>
      <c r="D157" s="20">
        <v>163</v>
      </c>
      <c r="E157" s="20">
        <v>163</v>
      </c>
      <c r="F157" s="20">
        <v>163</v>
      </c>
      <c r="G157" s="20">
        <v>163</v>
      </c>
      <c r="H157" s="20">
        <f t="shared" si="2"/>
        <v>30</v>
      </c>
      <c r="I157" s="20">
        <v>1391</v>
      </c>
      <c r="J157" s="20">
        <v>4182</v>
      </c>
    </row>
    <row r="158" spans="1:10" x14ac:dyDescent="0.3">
      <c r="A158" s="20">
        <v>155</v>
      </c>
      <c r="B158" s="20">
        <v>155</v>
      </c>
      <c r="C158" s="20">
        <v>78000</v>
      </c>
      <c r="D158" s="20">
        <v>164</v>
      </c>
      <c r="E158" s="20">
        <v>164</v>
      </c>
      <c r="F158" s="20">
        <v>164</v>
      </c>
      <c r="G158" s="20">
        <v>164</v>
      </c>
      <c r="H158" s="20">
        <f t="shared" si="2"/>
        <v>31</v>
      </c>
      <c r="I158" s="20">
        <v>1406</v>
      </c>
      <c r="J158" s="20">
        <v>4229</v>
      </c>
    </row>
    <row r="159" spans="1:10" x14ac:dyDescent="0.3">
      <c r="A159" s="20">
        <v>156</v>
      </c>
      <c r="B159" s="20">
        <v>156</v>
      </c>
      <c r="C159" s="20">
        <v>78500</v>
      </c>
      <c r="D159" s="20">
        <v>165</v>
      </c>
      <c r="E159" s="20">
        <v>165</v>
      </c>
      <c r="F159" s="20">
        <v>165</v>
      </c>
      <c r="G159" s="20">
        <v>165</v>
      </c>
      <c r="H159" s="20">
        <f t="shared" si="2"/>
        <v>31</v>
      </c>
      <c r="I159" s="20">
        <v>1421</v>
      </c>
      <c r="J159" s="20">
        <v>4276</v>
      </c>
    </row>
    <row r="160" spans="1:10" x14ac:dyDescent="0.3">
      <c r="A160" s="20">
        <v>157</v>
      </c>
      <c r="B160" s="20">
        <v>157</v>
      </c>
      <c r="C160" s="20">
        <v>79000</v>
      </c>
      <c r="D160" s="20">
        <v>166</v>
      </c>
      <c r="E160" s="20">
        <v>166</v>
      </c>
      <c r="F160" s="20">
        <v>166</v>
      </c>
      <c r="G160" s="20">
        <v>166</v>
      </c>
      <c r="H160" s="20">
        <f t="shared" si="2"/>
        <v>31</v>
      </c>
      <c r="I160" s="20">
        <v>1436</v>
      </c>
      <c r="J160" s="20">
        <v>4323</v>
      </c>
    </row>
    <row r="161" spans="1:10" x14ac:dyDescent="0.3">
      <c r="A161" s="20">
        <v>158</v>
      </c>
      <c r="B161" s="20">
        <v>158</v>
      </c>
      <c r="C161" s="20">
        <v>79500</v>
      </c>
      <c r="D161" s="20">
        <v>167</v>
      </c>
      <c r="E161" s="20">
        <v>167</v>
      </c>
      <c r="F161" s="20">
        <v>167</v>
      </c>
      <c r="G161" s="20">
        <v>167</v>
      </c>
      <c r="H161" s="20">
        <f t="shared" si="2"/>
        <v>31</v>
      </c>
      <c r="I161" s="20">
        <v>1451</v>
      </c>
      <c r="J161" s="20">
        <v>4370</v>
      </c>
    </row>
    <row r="162" spans="1:10" x14ac:dyDescent="0.3">
      <c r="A162" s="20">
        <v>159</v>
      </c>
      <c r="B162" s="20">
        <v>159</v>
      </c>
      <c r="C162" s="20">
        <v>80000</v>
      </c>
      <c r="D162" s="20">
        <v>168</v>
      </c>
      <c r="E162" s="20">
        <v>168</v>
      </c>
      <c r="F162" s="20">
        <v>168</v>
      </c>
      <c r="G162" s="20">
        <v>168</v>
      </c>
      <c r="H162" s="20">
        <f t="shared" si="2"/>
        <v>31</v>
      </c>
      <c r="I162" s="20">
        <v>1466</v>
      </c>
      <c r="J162" s="20">
        <v>4417</v>
      </c>
    </row>
    <row r="163" spans="1:10" x14ac:dyDescent="0.3">
      <c r="A163" s="20">
        <v>160</v>
      </c>
      <c r="B163" s="20">
        <v>160</v>
      </c>
      <c r="C163" s="20">
        <v>80500</v>
      </c>
      <c r="D163" s="20">
        <v>169</v>
      </c>
      <c r="E163" s="20">
        <v>169</v>
      </c>
      <c r="F163" s="20">
        <v>169</v>
      </c>
      <c r="G163" s="20">
        <v>169</v>
      </c>
      <c r="H163" s="20">
        <f t="shared" si="2"/>
        <v>32</v>
      </c>
      <c r="I163" s="20">
        <v>1481</v>
      </c>
      <c r="J163" s="20">
        <v>4464</v>
      </c>
    </row>
    <row r="164" spans="1:10" x14ac:dyDescent="0.3">
      <c r="A164" s="20">
        <v>161</v>
      </c>
      <c r="B164" s="20">
        <v>161</v>
      </c>
      <c r="C164" s="20">
        <v>81000</v>
      </c>
      <c r="D164" s="20">
        <v>170</v>
      </c>
      <c r="E164" s="20">
        <v>170</v>
      </c>
      <c r="F164" s="20">
        <v>170</v>
      </c>
      <c r="G164" s="20">
        <v>170</v>
      </c>
      <c r="H164" s="20">
        <f t="shared" si="2"/>
        <v>32</v>
      </c>
      <c r="I164" s="20">
        <v>1496</v>
      </c>
      <c r="J164" s="20">
        <v>4511</v>
      </c>
    </row>
    <row r="165" spans="1:10" x14ac:dyDescent="0.3">
      <c r="A165" s="20">
        <v>162</v>
      </c>
      <c r="B165" s="20">
        <v>162</v>
      </c>
      <c r="C165" s="20">
        <v>81500</v>
      </c>
      <c r="D165" s="20">
        <v>171</v>
      </c>
      <c r="E165" s="20">
        <v>171</v>
      </c>
      <c r="F165" s="20">
        <v>171</v>
      </c>
      <c r="G165" s="20">
        <v>171</v>
      </c>
      <c r="H165" s="20">
        <f t="shared" si="2"/>
        <v>32</v>
      </c>
      <c r="I165" s="20">
        <v>1511</v>
      </c>
      <c r="J165" s="20">
        <v>4558</v>
      </c>
    </row>
    <row r="166" spans="1:10" x14ac:dyDescent="0.3">
      <c r="A166" s="20">
        <v>163</v>
      </c>
      <c r="B166" s="20">
        <v>163</v>
      </c>
      <c r="C166" s="20">
        <v>82000</v>
      </c>
      <c r="D166" s="20">
        <v>172</v>
      </c>
      <c r="E166" s="20">
        <v>172</v>
      </c>
      <c r="F166" s="20">
        <v>172</v>
      </c>
      <c r="G166" s="20">
        <v>172</v>
      </c>
      <c r="H166" s="20">
        <f t="shared" si="2"/>
        <v>32</v>
      </c>
      <c r="I166" s="20">
        <v>1526</v>
      </c>
      <c r="J166" s="20">
        <v>4605</v>
      </c>
    </row>
    <row r="167" spans="1:10" x14ac:dyDescent="0.3">
      <c r="A167" s="20">
        <v>164</v>
      </c>
      <c r="B167" s="20">
        <v>164</v>
      </c>
      <c r="C167" s="20">
        <v>82500</v>
      </c>
      <c r="D167" s="20">
        <v>173</v>
      </c>
      <c r="E167" s="20">
        <v>173</v>
      </c>
      <c r="F167" s="20">
        <v>173</v>
      </c>
      <c r="G167" s="20">
        <v>173</v>
      </c>
      <c r="H167" s="20">
        <f t="shared" si="2"/>
        <v>32</v>
      </c>
      <c r="I167" s="20">
        <v>1541</v>
      </c>
      <c r="J167" s="20">
        <v>4652</v>
      </c>
    </row>
    <row r="168" spans="1:10" x14ac:dyDescent="0.3">
      <c r="A168" s="20">
        <v>165</v>
      </c>
      <c r="B168" s="20">
        <v>165</v>
      </c>
      <c r="C168" s="20">
        <v>83000</v>
      </c>
      <c r="D168" s="20">
        <v>174</v>
      </c>
      <c r="E168" s="20">
        <v>174</v>
      </c>
      <c r="F168" s="20">
        <v>174</v>
      </c>
      <c r="G168" s="20">
        <v>174</v>
      </c>
      <c r="H168" s="20">
        <f t="shared" si="2"/>
        <v>33</v>
      </c>
      <c r="I168" s="20">
        <v>1556</v>
      </c>
      <c r="J168" s="20">
        <v>4699</v>
      </c>
    </row>
    <row r="169" spans="1:10" x14ac:dyDescent="0.3">
      <c r="A169" s="20">
        <v>166</v>
      </c>
      <c r="B169" s="20">
        <v>166</v>
      </c>
      <c r="C169" s="20">
        <v>83500</v>
      </c>
      <c r="D169" s="20">
        <v>175</v>
      </c>
      <c r="E169" s="20">
        <v>175</v>
      </c>
      <c r="F169" s="20">
        <v>175</v>
      </c>
      <c r="G169" s="20">
        <v>175</v>
      </c>
      <c r="H169" s="20">
        <f t="shared" si="2"/>
        <v>33</v>
      </c>
      <c r="I169" s="20">
        <v>1571</v>
      </c>
      <c r="J169" s="20">
        <v>4746</v>
      </c>
    </row>
    <row r="170" spans="1:10" x14ac:dyDescent="0.3">
      <c r="A170" s="20">
        <v>167</v>
      </c>
      <c r="B170" s="20">
        <v>167</v>
      </c>
      <c r="C170" s="20">
        <v>84000</v>
      </c>
      <c r="D170" s="20">
        <v>176</v>
      </c>
      <c r="E170" s="20">
        <v>176</v>
      </c>
      <c r="F170" s="20">
        <v>176</v>
      </c>
      <c r="G170" s="20">
        <v>176</v>
      </c>
      <c r="H170" s="20">
        <f t="shared" si="2"/>
        <v>33</v>
      </c>
      <c r="I170" s="20">
        <v>1586</v>
      </c>
      <c r="J170" s="20">
        <v>4793</v>
      </c>
    </row>
    <row r="171" spans="1:10" x14ac:dyDescent="0.3">
      <c r="A171" s="20">
        <v>168</v>
      </c>
      <c r="B171" s="20">
        <v>168</v>
      </c>
      <c r="C171" s="20">
        <v>84500</v>
      </c>
      <c r="D171" s="20">
        <v>177</v>
      </c>
      <c r="E171" s="20">
        <v>177</v>
      </c>
      <c r="F171" s="20">
        <v>177</v>
      </c>
      <c r="G171" s="20">
        <v>177</v>
      </c>
      <c r="H171" s="20">
        <f t="shared" si="2"/>
        <v>33</v>
      </c>
      <c r="I171" s="20">
        <v>1601</v>
      </c>
      <c r="J171" s="20">
        <v>4840</v>
      </c>
    </row>
    <row r="172" spans="1:10" x14ac:dyDescent="0.3">
      <c r="A172" s="20">
        <v>169</v>
      </c>
      <c r="B172" s="20">
        <v>169</v>
      </c>
      <c r="C172" s="20">
        <v>85000</v>
      </c>
      <c r="D172" s="20">
        <v>178</v>
      </c>
      <c r="E172" s="20">
        <v>178</v>
      </c>
      <c r="F172" s="20">
        <v>178</v>
      </c>
      <c r="G172" s="20">
        <v>178</v>
      </c>
      <c r="H172" s="20">
        <f t="shared" si="2"/>
        <v>33</v>
      </c>
      <c r="I172" s="20">
        <v>1616</v>
      </c>
      <c r="J172" s="20">
        <v>4887</v>
      </c>
    </row>
    <row r="173" spans="1:10" x14ac:dyDescent="0.3">
      <c r="A173" s="20">
        <v>170</v>
      </c>
      <c r="B173" s="20">
        <v>170</v>
      </c>
      <c r="C173" s="20">
        <v>85500</v>
      </c>
      <c r="D173" s="20">
        <v>179</v>
      </c>
      <c r="E173" s="20">
        <v>179</v>
      </c>
      <c r="F173" s="20">
        <v>179</v>
      </c>
      <c r="G173" s="20">
        <v>179</v>
      </c>
      <c r="H173" s="20">
        <f t="shared" si="2"/>
        <v>34</v>
      </c>
      <c r="I173" s="20">
        <v>1631</v>
      </c>
      <c r="J173" s="20">
        <v>4934</v>
      </c>
    </row>
    <row r="174" spans="1:10" x14ac:dyDescent="0.3">
      <c r="A174" s="20">
        <v>171</v>
      </c>
      <c r="B174" s="20">
        <v>171</v>
      </c>
      <c r="C174" s="20">
        <v>86000</v>
      </c>
      <c r="D174" s="20">
        <v>180</v>
      </c>
      <c r="E174" s="20">
        <v>180</v>
      </c>
      <c r="F174" s="20">
        <v>180</v>
      </c>
      <c r="G174" s="20">
        <v>180</v>
      </c>
      <c r="H174" s="20">
        <f t="shared" si="2"/>
        <v>34</v>
      </c>
      <c r="I174" s="20">
        <v>1646</v>
      </c>
      <c r="J174" s="20">
        <v>4981</v>
      </c>
    </row>
    <row r="175" spans="1:10" x14ac:dyDescent="0.3">
      <c r="A175" s="20">
        <v>172</v>
      </c>
      <c r="B175" s="20">
        <v>172</v>
      </c>
      <c r="C175" s="20">
        <v>86500</v>
      </c>
      <c r="D175" s="20">
        <v>181</v>
      </c>
      <c r="E175" s="20">
        <v>181</v>
      </c>
      <c r="F175" s="20">
        <v>181</v>
      </c>
      <c r="G175" s="20">
        <v>181</v>
      </c>
      <c r="H175" s="20">
        <f t="shared" si="2"/>
        <v>34</v>
      </c>
      <c r="I175" s="20">
        <v>1661</v>
      </c>
      <c r="J175" s="20">
        <v>5028</v>
      </c>
    </row>
    <row r="176" spans="1:10" x14ac:dyDescent="0.3">
      <c r="A176" s="20">
        <v>173</v>
      </c>
      <c r="B176" s="20">
        <v>173</v>
      </c>
      <c r="C176" s="20">
        <v>87000</v>
      </c>
      <c r="D176" s="20">
        <v>182</v>
      </c>
      <c r="E176" s="20">
        <v>182</v>
      </c>
      <c r="F176" s="20">
        <v>182</v>
      </c>
      <c r="G176" s="20">
        <v>182</v>
      </c>
      <c r="H176" s="20">
        <f t="shared" si="2"/>
        <v>34</v>
      </c>
      <c r="I176" s="20">
        <v>1676</v>
      </c>
      <c r="J176" s="20">
        <v>5075</v>
      </c>
    </row>
    <row r="177" spans="1:10" x14ac:dyDescent="0.3">
      <c r="A177" s="20">
        <v>174</v>
      </c>
      <c r="B177" s="20">
        <v>174</v>
      </c>
      <c r="C177" s="20">
        <v>87500</v>
      </c>
      <c r="D177" s="20">
        <v>183</v>
      </c>
      <c r="E177" s="20">
        <v>183</v>
      </c>
      <c r="F177" s="20">
        <v>183</v>
      </c>
      <c r="G177" s="20">
        <v>183</v>
      </c>
      <c r="H177" s="20">
        <f t="shared" si="2"/>
        <v>34</v>
      </c>
      <c r="I177" s="20">
        <v>1691</v>
      </c>
      <c r="J177" s="20">
        <v>5122</v>
      </c>
    </row>
    <row r="178" spans="1:10" x14ac:dyDescent="0.3">
      <c r="A178" s="20">
        <v>175</v>
      </c>
      <c r="B178" s="20">
        <v>175</v>
      </c>
      <c r="C178" s="20">
        <v>88000</v>
      </c>
      <c r="D178" s="20">
        <v>184</v>
      </c>
      <c r="E178" s="20">
        <v>184</v>
      </c>
      <c r="F178" s="20">
        <v>184</v>
      </c>
      <c r="G178" s="20">
        <v>184</v>
      </c>
      <c r="H178" s="20">
        <f t="shared" si="2"/>
        <v>35</v>
      </c>
      <c r="I178" s="20">
        <v>1706</v>
      </c>
      <c r="J178" s="20">
        <v>5169</v>
      </c>
    </row>
    <row r="179" spans="1:10" x14ac:dyDescent="0.3">
      <c r="A179" s="20">
        <v>176</v>
      </c>
      <c r="B179" s="20">
        <v>176</v>
      </c>
      <c r="C179" s="20">
        <v>88500</v>
      </c>
      <c r="D179" s="20">
        <v>185</v>
      </c>
      <c r="E179" s="20">
        <v>185</v>
      </c>
      <c r="F179" s="20">
        <v>185</v>
      </c>
      <c r="G179" s="20">
        <v>185</v>
      </c>
      <c r="H179" s="20">
        <f t="shared" si="2"/>
        <v>35</v>
      </c>
      <c r="I179" s="20">
        <v>1721</v>
      </c>
      <c r="J179" s="20">
        <v>5216</v>
      </c>
    </row>
    <row r="180" spans="1:10" x14ac:dyDescent="0.3">
      <c r="A180" s="20">
        <v>177</v>
      </c>
      <c r="B180" s="20">
        <v>177</v>
      </c>
      <c r="C180" s="20">
        <v>89000</v>
      </c>
      <c r="D180" s="20">
        <v>186</v>
      </c>
      <c r="E180" s="20">
        <v>186</v>
      </c>
      <c r="F180" s="20">
        <v>186</v>
      </c>
      <c r="G180" s="20">
        <v>186</v>
      </c>
      <c r="H180" s="20">
        <f t="shared" si="2"/>
        <v>35</v>
      </c>
      <c r="I180" s="20">
        <v>1736</v>
      </c>
      <c r="J180" s="20">
        <v>5263</v>
      </c>
    </row>
    <row r="181" spans="1:10" x14ac:dyDescent="0.3">
      <c r="A181" s="20">
        <v>178</v>
      </c>
      <c r="B181" s="20">
        <v>178</v>
      </c>
      <c r="C181" s="20">
        <v>89500</v>
      </c>
      <c r="D181" s="20">
        <v>187</v>
      </c>
      <c r="E181" s="20">
        <v>187</v>
      </c>
      <c r="F181" s="20">
        <v>187</v>
      </c>
      <c r="G181" s="20">
        <v>187</v>
      </c>
      <c r="H181" s="20">
        <f t="shared" si="2"/>
        <v>35</v>
      </c>
      <c r="I181" s="20">
        <v>1751</v>
      </c>
      <c r="J181" s="20">
        <v>5310</v>
      </c>
    </row>
    <row r="182" spans="1:10" x14ac:dyDescent="0.3">
      <c r="A182" s="20">
        <v>179</v>
      </c>
      <c r="B182" s="20">
        <v>179</v>
      </c>
      <c r="C182" s="20">
        <v>90000</v>
      </c>
      <c r="D182" s="20">
        <v>188</v>
      </c>
      <c r="E182" s="20">
        <v>188</v>
      </c>
      <c r="F182" s="20">
        <v>188</v>
      </c>
      <c r="G182" s="20">
        <v>188</v>
      </c>
      <c r="H182" s="20">
        <f t="shared" si="2"/>
        <v>35</v>
      </c>
      <c r="I182" s="20">
        <v>1766</v>
      </c>
      <c r="J182" s="20">
        <v>5357</v>
      </c>
    </row>
    <row r="183" spans="1:10" x14ac:dyDescent="0.3">
      <c r="A183" s="20">
        <v>180</v>
      </c>
      <c r="B183" s="20">
        <v>180</v>
      </c>
      <c r="C183" s="20">
        <v>90500</v>
      </c>
      <c r="D183" s="20">
        <v>189</v>
      </c>
      <c r="E183" s="20">
        <v>189</v>
      </c>
      <c r="F183" s="20">
        <v>189</v>
      </c>
      <c r="G183" s="20">
        <v>189</v>
      </c>
      <c r="H183" s="20">
        <f t="shared" si="2"/>
        <v>36</v>
      </c>
      <c r="I183" s="20">
        <v>1781</v>
      </c>
      <c r="J183" s="20">
        <v>5404</v>
      </c>
    </row>
    <row r="184" spans="1:10" x14ac:dyDescent="0.3">
      <c r="A184" s="20">
        <v>181</v>
      </c>
      <c r="B184" s="20">
        <v>181</v>
      </c>
      <c r="C184" s="20">
        <v>91000</v>
      </c>
      <c r="D184" s="20">
        <v>190</v>
      </c>
      <c r="E184" s="20">
        <v>190</v>
      </c>
      <c r="F184" s="20">
        <v>190</v>
      </c>
      <c r="G184" s="20">
        <v>190</v>
      </c>
      <c r="H184" s="20">
        <f t="shared" si="2"/>
        <v>36</v>
      </c>
      <c r="I184" s="20">
        <v>1796</v>
      </c>
      <c r="J184" s="20">
        <v>5451</v>
      </c>
    </row>
    <row r="185" spans="1:10" x14ac:dyDescent="0.3">
      <c r="A185" s="20">
        <v>182</v>
      </c>
      <c r="B185" s="20">
        <v>182</v>
      </c>
      <c r="C185" s="20">
        <v>91500</v>
      </c>
      <c r="D185" s="20">
        <v>191</v>
      </c>
      <c r="E185" s="20">
        <v>191</v>
      </c>
      <c r="F185" s="20">
        <v>191</v>
      </c>
      <c r="G185" s="20">
        <v>191</v>
      </c>
      <c r="H185" s="20">
        <f t="shared" si="2"/>
        <v>36</v>
      </c>
      <c r="I185" s="20">
        <v>1811</v>
      </c>
      <c r="J185" s="20">
        <v>5498</v>
      </c>
    </row>
    <row r="186" spans="1:10" x14ac:dyDescent="0.3">
      <c r="A186" s="20">
        <v>183</v>
      </c>
      <c r="B186" s="20">
        <v>183</v>
      </c>
      <c r="C186" s="20">
        <v>92000</v>
      </c>
      <c r="D186" s="20">
        <v>192</v>
      </c>
      <c r="E186" s="20">
        <v>192</v>
      </c>
      <c r="F186" s="20">
        <v>192</v>
      </c>
      <c r="G186" s="20">
        <v>192</v>
      </c>
      <c r="H186" s="20">
        <f t="shared" si="2"/>
        <v>36</v>
      </c>
      <c r="I186" s="20">
        <v>1826</v>
      </c>
      <c r="J186" s="20">
        <v>5545</v>
      </c>
    </row>
    <row r="187" spans="1:10" x14ac:dyDescent="0.3">
      <c r="A187" s="20">
        <v>184</v>
      </c>
      <c r="B187" s="20">
        <v>184</v>
      </c>
      <c r="C187" s="20">
        <v>92500</v>
      </c>
      <c r="D187" s="20">
        <v>193</v>
      </c>
      <c r="E187" s="20">
        <v>193</v>
      </c>
      <c r="F187" s="20">
        <v>193</v>
      </c>
      <c r="G187" s="20">
        <v>193</v>
      </c>
      <c r="H187" s="20">
        <f t="shared" si="2"/>
        <v>36</v>
      </c>
      <c r="I187" s="20">
        <v>1841</v>
      </c>
      <c r="J187" s="20">
        <v>5592</v>
      </c>
    </row>
    <row r="188" spans="1:10" x14ac:dyDescent="0.3">
      <c r="A188" s="20">
        <v>185</v>
      </c>
      <c r="B188" s="20">
        <v>185</v>
      </c>
      <c r="C188" s="20">
        <v>93000</v>
      </c>
      <c r="D188" s="20">
        <v>194</v>
      </c>
      <c r="E188" s="20">
        <v>194</v>
      </c>
      <c r="F188" s="20">
        <v>194</v>
      </c>
      <c r="G188" s="20">
        <v>194</v>
      </c>
      <c r="H188" s="20">
        <f t="shared" si="2"/>
        <v>37</v>
      </c>
      <c r="I188" s="20">
        <v>1856</v>
      </c>
      <c r="J188" s="20">
        <v>5639</v>
      </c>
    </row>
    <row r="189" spans="1:10" x14ac:dyDescent="0.3">
      <c r="A189" s="20">
        <v>186</v>
      </c>
      <c r="B189" s="20">
        <v>186</v>
      </c>
      <c r="C189" s="20">
        <v>93500</v>
      </c>
      <c r="D189" s="20">
        <v>195</v>
      </c>
      <c r="E189" s="20">
        <v>195</v>
      </c>
      <c r="F189" s="20">
        <v>195</v>
      </c>
      <c r="G189" s="20">
        <v>195</v>
      </c>
      <c r="H189" s="20">
        <f t="shared" si="2"/>
        <v>37</v>
      </c>
      <c r="I189" s="20">
        <v>1871</v>
      </c>
      <c r="J189" s="20">
        <v>5686</v>
      </c>
    </row>
    <row r="190" spans="1:10" x14ac:dyDescent="0.3">
      <c r="A190" s="20">
        <v>187</v>
      </c>
      <c r="B190" s="20">
        <v>187</v>
      </c>
      <c r="C190" s="20">
        <v>94000</v>
      </c>
      <c r="D190" s="20">
        <v>196</v>
      </c>
      <c r="E190" s="20">
        <v>196</v>
      </c>
      <c r="F190" s="20">
        <v>196</v>
      </c>
      <c r="G190" s="20">
        <v>196</v>
      </c>
      <c r="H190" s="20">
        <f t="shared" si="2"/>
        <v>37</v>
      </c>
      <c r="I190" s="20">
        <v>1886</v>
      </c>
      <c r="J190" s="20">
        <v>5733</v>
      </c>
    </row>
    <row r="191" spans="1:10" x14ac:dyDescent="0.3">
      <c r="A191" s="20">
        <v>188</v>
      </c>
      <c r="B191" s="20">
        <v>188</v>
      </c>
      <c r="C191" s="20">
        <v>94500</v>
      </c>
      <c r="D191" s="20">
        <v>197</v>
      </c>
      <c r="E191" s="20">
        <v>197</v>
      </c>
      <c r="F191" s="20">
        <v>197</v>
      </c>
      <c r="G191" s="20">
        <v>197</v>
      </c>
      <c r="H191" s="20">
        <f t="shared" si="2"/>
        <v>37</v>
      </c>
      <c r="I191" s="20">
        <v>1901</v>
      </c>
      <c r="J191" s="20">
        <v>5780</v>
      </c>
    </row>
    <row r="192" spans="1:10" x14ac:dyDescent="0.3">
      <c r="A192" s="20">
        <v>189</v>
      </c>
      <c r="B192" s="20">
        <v>189</v>
      </c>
      <c r="C192" s="20">
        <v>95000</v>
      </c>
      <c r="D192" s="20">
        <v>198</v>
      </c>
      <c r="E192" s="20">
        <v>198</v>
      </c>
      <c r="F192" s="20">
        <v>198</v>
      </c>
      <c r="G192" s="20">
        <v>198</v>
      </c>
      <c r="H192" s="20">
        <f t="shared" si="2"/>
        <v>37</v>
      </c>
      <c r="I192" s="20">
        <v>1916</v>
      </c>
      <c r="J192" s="20">
        <v>5827</v>
      </c>
    </row>
    <row r="193" spans="1:10" x14ac:dyDescent="0.3">
      <c r="A193" s="20">
        <v>190</v>
      </c>
      <c r="B193" s="20">
        <v>190</v>
      </c>
      <c r="C193" s="20">
        <v>95500</v>
      </c>
      <c r="D193" s="20">
        <v>199</v>
      </c>
      <c r="E193" s="20">
        <v>199</v>
      </c>
      <c r="F193" s="20">
        <v>199</v>
      </c>
      <c r="G193" s="20">
        <v>199</v>
      </c>
      <c r="H193" s="20">
        <f t="shared" si="2"/>
        <v>38</v>
      </c>
      <c r="I193" s="20">
        <v>1931</v>
      </c>
      <c r="J193" s="20">
        <v>5874</v>
      </c>
    </row>
    <row r="194" spans="1:10" x14ac:dyDescent="0.3">
      <c r="A194" s="20">
        <v>191</v>
      </c>
      <c r="B194" s="20">
        <v>191</v>
      </c>
      <c r="C194" s="20">
        <v>96000</v>
      </c>
      <c r="D194" s="20">
        <v>200</v>
      </c>
      <c r="E194" s="20">
        <v>200</v>
      </c>
      <c r="F194" s="20">
        <v>200</v>
      </c>
      <c r="G194" s="20">
        <v>200</v>
      </c>
      <c r="H194" s="20">
        <f t="shared" si="2"/>
        <v>38</v>
      </c>
      <c r="I194" s="20">
        <v>1946</v>
      </c>
      <c r="J194" s="20">
        <v>5921</v>
      </c>
    </row>
    <row r="195" spans="1:10" x14ac:dyDescent="0.3">
      <c r="A195" s="20">
        <v>192</v>
      </c>
      <c r="B195" s="20">
        <v>192</v>
      </c>
      <c r="C195" s="20">
        <v>96500</v>
      </c>
      <c r="D195" s="20">
        <v>201</v>
      </c>
      <c r="E195" s="20">
        <v>201</v>
      </c>
      <c r="F195" s="20">
        <v>201</v>
      </c>
      <c r="G195" s="20">
        <v>201</v>
      </c>
      <c r="H195" s="20">
        <f t="shared" si="2"/>
        <v>38</v>
      </c>
      <c r="I195" s="20">
        <v>1961</v>
      </c>
      <c r="J195" s="20">
        <v>5968</v>
      </c>
    </row>
    <row r="196" spans="1:10" x14ac:dyDescent="0.3">
      <c r="A196" s="20">
        <v>193</v>
      </c>
      <c r="B196" s="20">
        <v>193</v>
      </c>
      <c r="C196" s="20">
        <v>97000</v>
      </c>
      <c r="D196" s="20">
        <v>202</v>
      </c>
      <c r="E196" s="20">
        <v>202</v>
      </c>
      <c r="F196" s="20">
        <v>202</v>
      </c>
      <c r="G196" s="20">
        <v>202</v>
      </c>
      <c r="H196" s="20">
        <f t="shared" si="2"/>
        <v>38</v>
      </c>
      <c r="I196" s="20">
        <v>1976</v>
      </c>
      <c r="J196" s="20">
        <v>6015</v>
      </c>
    </row>
    <row r="197" spans="1:10" x14ac:dyDescent="0.3">
      <c r="A197" s="20">
        <v>194</v>
      </c>
      <c r="B197" s="20">
        <v>194</v>
      </c>
      <c r="C197" s="20">
        <v>97500</v>
      </c>
      <c r="D197" s="20">
        <v>203</v>
      </c>
      <c r="E197" s="20">
        <v>203</v>
      </c>
      <c r="F197" s="20">
        <v>203</v>
      </c>
      <c r="G197" s="20">
        <v>203</v>
      </c>
      <c r="H197" s="20">
        <f t="shared" si="2"/>
        <v>38</v>
      </c>
      <c r="I197" s="20">
        <v>1991</v>
      </c>
      <c r="J197" s="20">
        <v>6062</v>
      </c>
    </row>
    <row r="198" spans="1:10" x14ac:dyDescent="0.3">
      <c r="A198" s="20">
        <v>195</v>
      </c>
      <c r="B198" s="20">
        <v>195</v>
      </c>
      <c r="C198" s="20">
        <v>98000</v>
      </c>
      <c r="D198" s="20">
        <v>204</v>
      </c>
      <c r="E198" s="20">
        <v>204</v>
      </c>
      <c r="F198" s="20">
        <v>204</v>
      </c>
      <c r="G198" s="20">
        <v>204</v>
      </c>
      <c r="H198" s="20">
        <f t="shared" si="2"/>
        <v>39</v>
      </c>
      <c r="I198" s="20">
        <v>2006</v>
      </c>
      <c r="J198" s="20">
        <v>6109</v>
      </c>
    </row>
    <row r="199" spans="1:10" x14ac:dyDescent="0.3">
      <c r="A199" s="20">
        <v>196</v>
      </c>
      <c r="B199" s="20">
        <v>196</v>
      </c>
      <c r="C199" s="20">
        <v>98500</v>
      </c>
      <c r="D199" s="20">
        <v>205</v>
      </c>
      <c r="E199" s="20">
        <v>205</v>
      </c>
      <c r="F199" s="20">
        <v>205</v>
      </c>
      <c r="G199" s="20">
        <v>205</v>
      </c>
      <c r="H199" s="20">
        <f t="shared" si="2"/>
        <v>39</v>
      </c>
      <c r="I199" s="20">
        <v>2021</v>
      </c>
      <c r="J199" s="20">
        <v>6156</v>
      </c>
    </row>
    <row r="200" spans="1:10" x14ac:dyDescent="0.3">
      <c r="A200" s="20">
        <v>197</v>
      </c>
      <c r="B200" s="20">
        <v>197</v>
      </c>
      <c r="C200" s="20">
        <v>99000</v>
      </c>
      <c r="D200" s="20">
        <v>206</v>
      </c>
      <c r="E200" s="20">
        <v>206</v>
      </c>
      <c r="F200" s="20">
        <v>206</v>
      </c>
      <c r="G200" s="20">
        <v>206</v>
      </c>
      <c r="H200" s="20">
        <f t="shared" si="2"/>
        <v>39</v>
      </c>
      <c r="I200" s="20">
        <v>2036</v>
      </c>
      <c r="J200" s="20">
        <v>6203</v>
      </c>
    </row>
    <row r="201" spans="1:10" x14ac:dyDescent="0.3">
      <c r="A201" s="20">
        <v>198</v>
      </c>
      <c r="B201" s="20">
        <v>198</v>
      </c>
      <c r="C201" s="20">
        <v>99500</v>
      </c>
      <c r="D201" s="20">
        <v>207</v>
      </c>
      <c r="E201" s="20">
        <v>207</v>
      </c>
      <c r="F201" s="20">
        <v>207</v>
      </c>
      <c r="G201" s="20">
        <v>207</v>
      </c>
      <c r="H201" s="20">
        <f t="shared" si="2"/>
        <v>39</v>
      </c>
      <c r="I201" s="20">
        <v>2051</v>
      </c>
      <c r="J201" s="20">
        <v>6250</v>
      </c>
    </row>
    <row r="202" spans="1:10" x14ac:dyDescent="0.3">
      <c r="A202" s="20">
        <v>199</v>
      </c>
      <c r="B202" s="20">
        <v>199</v>
      </c>
      <c r="C202" s="20">
        <v>100000</v>
      </c>
      <c r="D202" s="20">
        <v>208</v>
      </c>
      <c r="E202" s="20">
        <v>208</v>
      </c>
      <c r="F202" s="20">
        <v>208</v>
      </c>
      <c r="G202" s="20">
        <v>208</v>
      </c>
      <c r="H202" s="20">
        <f t="shared" ref="H202:H265" si="3">H197+1</f>
        <v>39</v>
      </c>
      <c r="I202" s="20">
        <v>2066</v>
      </c>
      <c r="J202" s="20">
        <v>6297</v>
      </c>
    </row>
    <row r="203" spans="1:10" x14ac:dyDescent="0.3">
      <c r="A203" s="20">
        <v>200</v>
      </c>
      <c r="B203" s="20">
        <v>200</v>
      </c>
      <c r="C203" s="20">
        <v>100500</v>
      </c>
      <c r="D203" s="20">
        <v>209</v>
      </c>
      <c r="E203" s="20">
        <v>209</v>
      </c>
      <c r="F203" s="20">
        <v>209</v>
      </c>
      <c r="G203" s="20">
        <v>209</v>
      </c>
      <c r="H203" s="20">
        <f t="shared" si="3"/>
        <v>40</v>
      </c>
      <c r="I203" s="20">
        <v>2081</v>
      </c>
      <c r="J203" s="20">
        <v>6344</v>
      </c>
    </row>
    <row r="204" spans="1:10" x14ac:dyDescent="0.3">
      <c r="A204" s="20">
        <v>201</v>
      </c>
      <c r="B204" s="20">
        <v>201</v>
      </c>
      <c r="C204" s="20">
        <v>101000</v>
      </c>
      <c r="D204" s="20">
        <v>210</v>
      </c>
      <c r="E204" s="20">
        <v>210</v>
      </c>
      <c r="F204" s="20">
        <v>210</v>
      </c>
      <c r="G204" s="20">
        <v>210</v>
      </c>
      <c r="H204" s="20">
        <f t="shared" si="3"/>
        <v>40</v>
      </c>
      <c r="I204" s="20">
        <v>2096</v>
      </c>
      <c r="J204" s="20">
        <v>6391</v>
      </c>
    </row>
    <row r="205" spans="1:10" x14ac:dyDescent="0.3">
      <c r="A205" s="20">
        <v>202</v>
      </c>
      <c r="B205" s="20">
        <v>202</v>
      </c>
      <c r="C205" s="20">
        <v>101500</v>
      </c>
      <c r="D205" s="20">
        <v>211</v>
      </c>
      <c r="E205" s="20">
        <v>211</v>
      </c>
      <c r="F205" s="20">
        <v>211</v>
      </c>
      <c r="G205" s="20">
        <v>211</v>
      </c>
      <c r="H205" s="20">
        <f t="shared" si="3"/>
        <v>40</v>
      </c>
      <c r="I205" s="20">
        <v>2111</v>
      </c>
      <c r="J205" s="20">
        <v>6438</v>
      </c>
    </row>
    <row r="206" spans="1:10" x14ac:dyDescent="0.3">
      <c r="A206" s="20">
        <v>203</v>
      </c>
      <c r="B206" s="20">
        <v>203</v>
      </c>
      <c r="C206" s="20">
        <v>102000</v>
      </c>
      <c r="D206" s="20">
        <v>212</v>
      </c>
      <c r="E206" s="20">
        <v>212</v>
      </c>
      <c r="F206" s="20">
        <v>212</v>
      </c>
      <c r="G206" s="20">
        <v>212</v>
      </c>
      <c r="H206" s="20">
        <f t="shared" si="3"/>
        <v>40</v>
      </c>
      <c r="I206" s="20">
        <v>2126</v>
      </c>
      <c r="J206" s="20">
        <v>6485</v>
      </c>
    </row>
    <row r="207" spans="1:10" x14ac:dyDescent="0.3">
      <c r="A207" s="20">
        <v>204</v>
      </c>
      <c r="B207" s="20">
        <v>204</v>
      </c>
      <c r="C207" s="20">
        <v>102500</v>
      </c>
      <c r="D207" s="20">
        <v>213</v>
      </c>
      <c r="E207" s="20">
        <v>213</v>
      </c>
      <c r="F207" s="20">
        <v>213</v>
      </c>
      <c r="G207" s="20">
        <v>213</v>
      </c>
      <c r="H207" s="20">
        <f t="shared" si="3"/>
        <v>40</v>
      </c>
      <c r="I207" s="20">
        <v>2141</v>
      </c>
      <c r="J207" s="20">
        <v>6532</v>
      </c>
    </row>
    <row r="208" spans="1:10" x14ac:dyDescent="0.3">
      <c r="A208" s="20">
        <v>205</v>
      </c>
      <c r="B208" s="20">
        <v>205</v>
      </c>
      <c r="C208" s="20">
        <v>103000</v>
      </c>
      <c r="D208" s="20">
        <v>214</v>
      </c>
      <c r="E208" s="20">
        <v>214</v>
      </c>
      <c r="F208" s="20">
        <v>214</v>
      </c>
      <c r="G208" s="20">
        <v>214</v>
      </c>
      <c r="H208" s="20">
        <f t="shared" si="3"/>
        <v>41</v>
      </c>
      <c r="I208" s="20">
        <v>2156</v>
      </c>
      <c r="J208" s="20">
        <v>6579</v>
      </c>
    </row>
    <row r="209" spans="1:10" x14ac:dyDescent="0.3">
      <c r="A209" s="20">
        <v>206</v>
      </c>
      <c r="B209" s="20">
        <v>206</v>
      </c>
      <c r="C209" s="20">
        <v>103500</v>
      </c>
      <c r="D209" s="20">
        <v>215</v>
      </c>
      <c r="E209" s="20">
        <v>215</v>
      </c>
      <c r="F209" s="20">
        <v>215</v>
      </c>
      <c r="G209" s="20">
        <v>215</v>
      </c>
      <c r="H209" s="20">
        <f t="shared" si="3"/>
        <v>41</v>
      </c>
      <c r="I209" s="20">
        <v>2171</v>
      </c>
      <c r="J209" s="20">
        <v>6626</v>
      </c>
    </row>
    <row r="210" spans="1:10" x14ac:dyDescent="0.3">
      <c r="A210" s="20">
        <v>207</v>
      </c>
      <c r="B210" s="20">
        <v>207</v>
      </c>
      <c r="C210" s="20">
        <v>104000</v>
      </c>
      <c r="D210" s="20">
        <v>216</v>
      </c>
      <c r="E210" s="20">
        <v>216</v>
      </c>
      <c r="F210" s="20">
        <v>216</v>
      </c>
      <c r="G210" s="20">
        <v>216</v>
      </c>
      <c r="H210" s="20">
        <f t="shared" si="3"/>
        <v>41</v>
      </c>
      <c r="I210" s="20">
        <v>2186</v>
      </c>
      <c r="J210" s="20">
        <v>6673</v>
      </c>
    </row>
    <row r="211" spans="1:10" x14ac:dyDescent="0.3">
      <c r="A211" s="20">
        <v>208</v>
      </c>
      <c r="B211" s="20">
        <v>208</v>
      </c>
      <c r="C211" s="20">
        <v>104500</v>
      </c>
      <c r="D211" s="20">
        <v>217</v>
      </c>
      <c r="E211" s="20">
        <v>217</v>
      </c>
      <c r="F211" s="20">
        <v>217</v>
      </c>
      <c r="G211" s="20">
        <v>217</v>
      </c>
      <c r="H211" s="20">
        <f t="shared" si="3"/>
        <v>41</v>
      </c>
      <c r="I211" s="20">
        <v>2201</v>
      </c>
      <c r="J211" s="20">
        <v>6720</v>
      </c>
    </row>
    <row r="212" spans="1:10" x14ac:dyDescent="0.3">
      <c r="A212" s="20">
        <v>209</v>
      </c>
      <c r="B212" s="20">
        <v>209</v>
      </c>
      <c r="C212" s="20">
        <v>105000</v>
      </c>
      <c r="D212" s="20">
        <v>218</v>
      </c>
      <c r="E212" s="20">
        <v>218</v>
      </c>
      <c r="F212" s="20">
        <v>218</v>
      </c>
      <c r="G212" s="20">
        <v>218</v>
      </c>
      <c r="H212" s="20">
        <f t="shared" si="3"/>
        <v>41</v>
      </c>
      <c r="I212" s="20">
        <v>2216</v>
      </c>
      <c r="J212" s="20">
        <v>6767</v>
      </c>
    </row>
    <row r="213" spans="1:10" x14ac:dyDescent="0.3">
      <c r="A213" s="20">
        <v>210</v>
      </c>
      <c r="B213" s="20">
        <v>210</v>
      </c>
      <c r="C213" s="20">
        <v>105500</v>
      </c>
      <c r="D213" s="20">
        <v>219</v>
      </c>
      <c r="E213" s="20">
        <v>219</v>
      </c>
      <c r="F213" s="20">
        <v>219</v>
      </c>
      <c r="G213" s="20">
        <v>219</v>
      </c>
      <c r="H213" s="20">
        <f t="shared" si="3"/>
        <v>42</v>
      </c>
      <c r="I213" s="20">
        <v>2231</v>
      </c>
      <c r="J213" s="20">
        <v>6814</v>
      </c>
    </row>
    <row r="214" spans="1:10" x14ac:dyDescent="0.3">
      <c r="A214" s="20">
        <v>211</v>
      </c>
      <c r="B214" s="20">
        <v>211</v>
      </c>
      <c r="C214" s="20">
        <v>106000</v>
      </c>
      <c r="D214" s="20">
        <v>220</v>
      </c>
      <c r="E214" s="20">
        <v>220</v>
      </c>
      <c r="F214" s="20">
        <v>220</v>
      </c>
      <c r="G214" s="20">
        <v>220</v>
      </c>
      <c r="H214" s="20">
        <f t="shared" si="3"/>
        <v>42</v>
      </c>
      <c r="I214" s="20">
        <v>2246</v>
      </c>
      <c r="J214" s="20">
        <v>6861</v>
      </c>
    </row>
    <row r="215" spans="1:10" x14ac:dyDescent="0.3">
      <c r="A215" s="20">
        <v>212</v>
      </c>
      <c r="B215" s="20">
        <v>212</v>
      </c>
      <c r="C215" s="20">
        <v>106500</v>
      </c>
      <c r="D215" s="20">
        <v>221</v>
      </c>
      <c r="E215" s="20">
        <v>221</v>
      </c>
      <c r="F215" s="20">
        <v>221</v>
      </c>
      <c r="G215" s="20">
        <v>221</v>
      </c>
      <c r="H215" s="20">
        <f t="shared" si="3"/>
        <v>42</v>
      </c>
      <c r="I215" s="20">
        <v>2261</v>
      </c>
      <c r="J215" s="20">
        <v>6908</v>
      </c>
    </row>
    <row r="216" spans="1:10" x14ac:dyDescent="0.3">
      <c r="A216" s="20">
        <v>213</v>
      </c>
      <c r="B216" s="20">
        <v>213</v>
      </c>
      <c r="C216" s="20">
        <v>107000</v>
      </c>
      <c r="D216" s="20">
        <v>222</v>
      </c>
      <c r="E216" s="20">
        <v>222</v>
      </c>
      <c r="F216" s="20">
        <v>222</v>
      </c>
      <c r="G216" s="20">
        <v>222</v>
      </c>
      <c r="H216" s="20">
        <f t="shared" si="3"/>
        <v>42</v>
      </c>
      <c r="I216" s="20">
        <v>2276</v>
      </c>
      <c r="J216" s="20">
        <v>6955</v>
      </c>
    </row>
    <row r="217" spans="1:10" x14ac:dyDescent="0.3">
      <c r="A217" s="20">
        <v>214</v>
      </c>
      <c r="B217" s="20">
        <v>214</v>
      </c>
      <c r="C217" s="20">
        <v>107500</v>
      </c>
      <c r="D217" s="20">
        <v>223</v>
      </c>
      <c r="E217" s="20">
        <v>223</v>
      </c>
      <c r="F217" s="20">
        <v>223</v>
      </c>
      <c r="G217" s="20">
        <v>223</v>
      </c>
      <c r="H217" s="20">
        <f t="shared" si="3"/>
        <v>42</v>
      </c>
      <c r="I217" s="20">
        <v>2291</v>
      </c>
      <c r="J217" s="20">
        <v>7002</v>
      </c>
    </row>
    <row r="218" spans="1:10" x14ac:dyDescent="0.3">
      <c r="A218" s="20">
        <v>215</v>
      </c>
      <c r="B218" s="20">
        <v>215</v>
      </c>
      <c r="C218" s="20">
        <v>108000</v>
      </c>
      <c r="D218" s="20">
        <v>224</v>
      </c>
      <c r="E218" s="20">
        <v>224</v>
      </c>
      <c r="F218" s="20">
        <v>224</v>
      </c>
      <c r="G218" s="20">
        <v>224</v>
      </c>
      <c r="H218" s="20">
        <f t="shared" si="3"/>
        <v>43</v>
      </c>
      <c r="I218" s="20">
        <v>2306</v>
      </c>
      <c r="J218" s="20">
        <v>7049</v>
      </c>
    </row>
    <row r="219" spans="1:10" x14ac:dyDescent="0.3">
      <c r="A219" s="20">
        <v>216</v>
      </c>
      <c r="B219" s="20">
        <v>216</v>
      </c>
      <c r="C219" s="20">
        <v>108500</v>
      </c>
      <c r="D219" s="20">
        <v>225</v>
      </c>
      <c r="E219" s="20">
        <v>225</v>
      </c>
      <c r="F219" s="20">
        <v>225</v>
      </c>
      <c r="G219" s="20">
        <v>225</v>
      </c>
      <c r="H219" s="20">
        <f t="shared" si="3"/>
        <v>43</v>
      </c>
      <c r="I219" s="20">
        <v>2321</v>
      </c>
      <c r="J219" s="20">
        <v>7096</v>
      </c>
    </row>
    <row r="220" spans="1:10" x14ac:dyDescent="0.3">
      <c r="A220" s="20">
        <v>217</v>
      </c>
      <c r="B220" s="20">
        <v>217</v>
      </c>
      <c r="C220" s="20">
        <v>109000</v>
      </c>
      <c r="D220" s="20">
        <v>226</v>
      </c>
      <c r="E220" s="20">
        <v>226</v>
      </c>
      <c r="F220" s="20">
        <v>226</v>
      </c>
      <c r="G220" s="20">
        <v>226</v>
      </c>
      <c r="H220" s="20">
        <f t="shared" si="3"/>
        <v>43</v>
      </c>
      <c r="I220" s="20">
        <v>2336</v>
      </c>
      <c r="J220" s="20">
        <v>7143</v>
      </c>
    </row>
    <row r="221" spans="1:10" x14ac:dyDescent="0.3">
      <c r="A221" s="20">
        <v>218</v>
      </c>
      <c r="B221" s="20">
        <v>218</v>
      </c>
      <c r="C221" s="20">
        <v>109500</v>
      </c>
      <c r="D221" s="20">
        <v>227</v>
      </c>
      <c r="E221" s="20">
        <v>227</v>
      </c>
      <c r="F221" s="20">
        <v>227</v>
      </c>
      <c r="G221" s="20">
        <v>227</v>
      </c>
      <c r="H221" s="20">
        <f t="shared" si="3"/>
        <v>43</v>
      </c>
      <c r="I221" s="20">
        <v>2351</v>
      </c>
      <c r="J221" s="20">
        <v>7190</v>
      </c>
    </row>
    <row r="222" spans="1:10" x14ac:dyDescent="0.3">
      <c r="A222" s="20">
        <v>219</v>
      </c>
      <c r="B222" s="20">
        <v>219</v>
      </c>
      <c r="C222" s="20">
        <v>110000</v>
      </c>
      <c r="D222" s="20">
        <v>228</v>
      </c>
      <c r="E222" s="20">
        <v>228</v>
      </c>
      <c r="F222" s="20">
        <v>228</v>
      </c>
      <c r="G222" s="20">
        <v>228</v>
      </c>
      <c r="H222" s="20">
        <f t="shared" si="3"/>
        <v>43</v>
      </c>
      <c r="I222" s="20">
        <v>2366</v>
      </c>
      <c r="J222" s="20">
        <v>7237</v>
      </c>
    </row>
    <row r="223" spans="1:10" x14ac:dyDescent="0.3">
      <c r="A223" s="20">
        <v>220</v>
      </c>
      <c r="B223" s="20">
        <v>220</v>
      </c>
      <c r="C223" s="20">
        <v>110500</v>
      </c>
      <c r="D223" s="20">
        <v>229</v>
      </c>
      <c r="E223" s="20">
        <v>229</v>
      </c>
      <c r="F223" s="20">
        <v>229</v>
      </c>
      <c r="G223" s="20">
        <v>229</v>
      </c>
      <c r="H223" s="20">
        <f t="shared" si="3"/>
        <v>44</v>
      </c>
      <c r="I223" s="20">
        <v>2381</v>
      </c>
      <c r="J223" s="20">
        <v>7284</v>
      </c>
    </row>
    <row r="224" spans="1:10" x14ac:dyDescent="0.3">
      <c r="A224" s="20">
        <v>221</v>
      </c>
      <c r="B224" s="20">
        <v>221</v>
      </c>
      <c r="C224" s="20">
        <v>111000</v>
      </c>
      <c r="D224" s="20">
        <v>230</v>
      </c>
      <c r="E224" s="20">
        <v>230</v>
      </c>
      <c r="F224" s="20">
        <v>230</v>
      </c>
      <c r="G224" s="20">
        <v>230</v>
      </c>
      <c r="H224" s="20">
        <f t="shared" si="3"/>
        <v>44</v>
      </c>
      <c r="I224" s="20">
        <v>2396</v>
      </c>
      <c r="J224" s="20">
        <v>7331</v>
      </c>
    </row>
    <row r="225" spans="1:10" x14ac:dyDescent="0.3">
      <c r="A225" s="20">
        <v>222</v>
      </c>
      <c r="B225" s="20">
        <v>222</v>
      </c>
      <c r="C225" s="20">
        <v>111500</v>
      </c>
      <c r="D225" s="20">
        <v>231</v>
      </c>
      <c r="E225" s="20">
        <v>231</v>
      </c>
      <c r="F225" s="20">
        <v>231</v>
      </c>
      <c r="G225" s="20">
        <v>231</v>
      </c>
      <c r="H225" s="20">
        <f t="shared" si="3"/>
        <v>44</v>
      </c>
      <c r="I225" s="20">
        <v>2411</v>
      </c>
      <c r="J225" s="20">
        <v>7378</v>
      </c>
    </row>
    <row r="226" spans="1:10" x14ac:dyDescent="0.3">
      <c r="A226" s="20">
        <v>223</v>
      </c>
      <c r="B226" s="20">
        <v>223</v>
      </c>
      <c r="C226" s="20">
        <v>112000</v>
      </c>
      <c r="D226" s="20">
        <v>232</v>
      </c>
      <c r="E226" s="20">
        <v>232</v>
      </c>
      <c r="F226" s="20">
        <v>232</v>
      </c>
      <c r="G226" s="20">
        <v>232</v>
      </c>
      <c r="H226" s="20">
        <f t="shared" si="3"/>
        <v>44</v>
      </c>
      <c r="I226" s="20">
        <v>2426</v>
      </c>
      <c r="J226" s="20">
        <v>7425</v>
      </c>
    </row>
    <row r="227" spans="1:10" x14ac:dyDescent="0.3">
      <c r="A227" s="20">
        <v>224</v>
      </c>
      <c r="B227" s="20">
        <v>224</v>
      </c>
      <c r="C227" s="20">
        <v>112500</v>
      </c>
      <c r="D227" s="20">
        <v>233</v>
      </c>
      <c r="E227" s="20">
        <v>233</v>
      </c>
      <c r="F227" s="20">
        <v>233</v>
      </c>
      <c r="G227" s="20">
        <v>233</v>
      </c>
      <c r="H227" s="20">
        <f t="shared" si="3"/>
        <v>44</v>
      </c>
      <c r="I227" s="20">
        <v>2441</v>
      </c>
      <c r="J227" s="20">
        <v>7472</v>
      </c>
    </row>
    <row r="228" spans="1:10" x14ac:dyDescent="0.3">
      <c r="A228" s="20">
        <v>225</v>
      </c>
      <c r="B228" s="20">
        <v>225</v>
      </c>
      <c r="C228" s="20">
        <v>113000</v>
      </c>
      <c r="D228" s="20">
        <v>234</v>
      </c>
      <c r="E228" s="20">
        <v>234</v>
      </c>
      <c r="F228" s="20">
        <v>234</v>
      </c>
      <c r="G228" s="20">
        <v>234</v>
      </c>
      <c r="H228" s="20">
        <f t="shared" si="3"/>
        <v>45</v>
      </c>
      <c r="I228" s="20">
        <v>2456</v>
      </c>
      <c r="J228" s="20">
        <v>7519</v>
      </c>
    </row>
    <row r="229" spans="1:10" x14ac:dyDescent="0.3">
      <c r="A229" s="20">
        <v>226</v>
      </c>
      <c r="B229" s="20">
        <v>226</v>
      </c>
      <c r="C229" s="20">
        <v>113500</v>
      </c>
      <c r="D229" s="20">
        <v>235</v>
      </c>
      <c r="E229" s="20">
        <v>235</v>
      </c>
      <c r="F229" s="20">
        <v>235</v>
      </c>
      <c r="G229" s="20">
        <v>235</v>
      </c>
      <c r="H229" s="20">
        <f t="shared" si="3"/>
        <v>45</v>
      </c>
      <c r="I229" s="20">
        <v>2471</v>
      </c>
      <c r="J229" s="20">
        <v>7566</v>
      </c>
    </row>
    <row r="230" spans="1:10" x14ac:dyDescent="0.3">
      <c r="A230" s="20">
        <v>227</v>
      </c>
      <c r="B230" s="20">
        <v>227</v>
      </c>
      <c r="C230" s="20">
        <v>114000</v>
      </c>
      <c r="D230" s="20">
        <v>236</v>
      </c>
      <c r="E230" s="20">
        <v>236</v>
      </c>
      <c r="F230" s="20">
        <v>236</v>
      </c>
      <c r="G230" s="20">
        <v>236</v>
      </c>
      <c r="H230" s="20">
        <f t="shared" si="3"/>
        <v>45</v>
      </c>
      <c r="I230" s="20">
        <v>2486</v>
      </c>
      <c r="J230" s="20">
        <v>7613</v>
      </c>
    </row>
    <row r="231" spans="1:10" x14ac:dyDescent="0.3">
      <c r="A231" s="20">
        <v>228</v>
      </c>
      <c r="B231" s="20">
        <v>228</v>
      </c>
      <c r="C231" s="20">
        <v>114500</v>
      </c>
      <c r="D231" s="20">
        <v>237</v>
      </c>
      <c r="E231" s="20">
        <v>237</v>
      </c>
      <c r="F231" s="20">
        <v>237</v>
      </c>
      <c r="G231" s="20">
        <v>237</v>
      </c>
      <c r="H231" s="20">
        <f t="shared" si="3"/>
        <v>45</v>
      </c>
      <c r="I231" s="20">
        <v>2501</v>
      </c>
      <c r="J231" s="20">
        <v>7660</v>
      </c>
    </row>
    <row r="232" spans="1:10" x14ac:dyDescent="0.3">
      <c r="A232" s="20">
        <v>229</v>
      </c>
      <c r="B232" s="20">
        <v>229</v>
      </c>
      <c r="C232" s="20">
        <v>115000</v>
      </c>
      <c r="D232" s="20">
        <v>238</v>
      </c>
      <c r="E232" s="20">
        <v>238</v>
      </c>
      <c r="F232" s="20">
        <v>238</v>
      </c>
      <c r="G232" s="20">
        <v>238</v>
      </c>
      <c r="H232" s="20">
        <f t="shared" si="3"/>
        <v>45</v>
      </c>
      <c r="I232" s="20">
        <v>2516</v>
      </c>
      <c r="J232" s="20">
        <v>7707</v>
      </c>
    </row>
    <row r="233" spans="1:10" x14ac:dyDescent="0.3">
      <c r="A233" s="20">
        <v>230</v>
      </c>
      <c r="B233" s="20">
        <v>230</v>
      </c>
      <c r="C233" s="20">
        <v>115500</v>
      </c>
      <c r="D233" s="20">
        <v>239</v>
      </c>
      <c r="E233" s="20">
        <v>239</v>
      </c>
      <c r="F233" s="20">
        <v>239</v>
      </c>
      <c r="G233" s="20">
        <v>239</v>
      </c>
      <c r="H233" s="20">
        <f t="shared" si="3"/>
        <v>46</v>
      </c>
      <c r="I233" s="20">
        <v>2531</v>
      </c>
      <c r="J233" s="20">
        <v>7754</v>
      </c>
    </row>
    <row r="234" spans="1:10" x14ac:dyDescent="0.3">
      <c r="A234" s="20">
        <v>231</v>
      </c>
      <c r="B234" s="20">
        <v>231</v>
      </c>
      <c r="C234" s="20">
        <v>116000</v>
      </c>
      <c r="D234" s="20">
        <v>240</v>
      </c>
      <c r="E234" s="20">
        <v>240</v>
      </c>
      <c r="F234" s="20">
        <v>240</v>
      </c>
      <c r="G234" s="20">
        <v>240</v>
      </c>
      <c r="H234" s="20">
        <f t="shared" si="3"/>
        <v>46</v>
      </c>
      <c r="I234" s="20">
        <v>2546</v>
      </c>
      <c r="J234" s="20">
        <v>7801</v>
      </c>
    </row>
    <row r="235" spans="1:10" x14ac:dyDescent="0.3">
      <c r="A235" s="20">
        <v>232</v>
      </c>
      <c r="B235" s="20">
        <v>232</v>
      </c>
      <c r="C235" s="20">
        <v>116500</v>
      </c>
      <c r="D235" s="20">
        <v>241</v>
      </c>
      <c r="E235" s="20">
        <v>241</v>
      </c>
      <c r="F235" s="20">
        <v>241</v>
      </c>
      <c r="G235" s="20">
        <v>241</v>
      </c>
      <c r="H235" s="20">
        <f t="shared" si="3"/>
        <v>46</v>
      </c>
      <c r="I235" s="20">
        <v>2561</v>
      </c>
      <c r="J235" s="20">
        <v>7848</v>
      </c>
    </row>
    <row r="236" spans="1:10" x14ac:dyDescent="0.3">
      <c r="A236" s="20">
        <v>233</v>
      </c>
      <c r="B236" s="20">
        <v>233</v>
      </c>
      <c r="C236" s="20">
        <v>117000</v>
      </c>
      <c r="D236" s="20">
        <v>242</v>
      </c>
      <c r="E236" s="20">
        <v>242</v>
      </c>
      <c r="F236" s="20">
        <v>242</v>
      </c>
      <c r="G236" s="20">
        <v>242</v>
      </c>
      <c r="H236" s="20">
        <f t="shared" si="3"/>
        <v>46</v>
      </c>
      <c r="I236" s="20">
        <v>2576</v>
      </c>
      <c r="J236" s="20">
        <v>7895</v>
      </c>
    </row>
    <row r="237" spans="1:10" x14ac:dyDescent="0.3">
      <c r="A237" s="20">
        <v>234</v>
      </c>
      <c r="B237" s="20">
        <v>234</v>
      </c>
      <c r="C237" s="20">
        <v>117500</v>
      </c>
      <c r="D237" s="20">
        <v>243</v>
      </c>
      <c r="E237" s="20">
        <v>243</v>
      </c>
      <c r="F237" s="20">
        <v>243</v>
      </c>
      <c r="G237" s="20">
        <v>243</v>
      </c>
      <c r="H237" s="20">
        <f t="shared" si="3"/>
        <v>46</v>
      </c>
      <c r="I237" s="20">
        <v>2591</v>
      </c>
      <c r="J237" s="20">
        <v>7942</v>
      </c>
    </row>
    <row r="238" spans="1:10" x14ac:dyDescent="0.3">
      <c r="A238" s="20">
        <v>235</v>
      </c>
      <c r="B238" s="20">
        <v>235</v>
      </c>
      <c r="C238" s="20">
        <v>118000</v>
      </c>
      <c r="D238" s="20">
        <v>244</v>
      </c>
      <c r="E238" s="20">
        <v>244</v>
      </c>
      <c r="F238" s="20">
        <v>244</v>
      </c>
      <c r="G238" s="20">
        <v>244</v>
      </c>
      <c r="H238" s="20">
        <f t="shared" si="3"/>
        <v>47</v>
      </c>
      <c r="I238" s="20">
        <v>2606</v>
      </c>
      <c r="J238" s="20">
        <v>7989</v>
      </c>
    </row>
    <row r="239" spans="1:10" x14ac:dyDescent="0.3">
      <c r="A239" s="20">
        <v>236</v>
      </c>
      <c r="B239" s="20">
        <v>236</v>
      </c>
      <c r="C239" s="20">
        <v>118500</v>
      </c>
      <c r="D239" s="20">
        <v>245</v>
      </c>
      <c r="E239" s="20">
        <v>245</v>
      </c>
      <c r="F239" s="20">
        <v>245</v>
      </c>
      <c r="G239" s="20">
        <v>245</v>
      </c>
      <c r="H239" s="20">
        <f t="shared" si="3"/>
        <v>47</v>
      </c>
      <c r="I239" s="20">
        <v>2621</v>
      </c>
      <c r="J239" s="20">
        <v>8036</v>
      </c>
    </row>
    <row r="240" spans="1:10" x14ac:dyDescent="0.3">
      <c r="A240" s="20">
        <v>237</v>
      </c>
      <c r="B240" s="20">
        <v>237</v>
      </c>
      <c r="C240" s="20">
        <v>119000</v>
      </c>
      <c r="D240" s="20">
        <v>246</v>
      </c>
      <c r="E240" s="20">
        <v>246</v>
      </c>
      <c r="F240" s="20">
        <v>246</v>
      </c>
      <c r="G240" s="20">
        <v>246</v>
      </c>
      <c r="H240" s="20">
        <f t="shared" si="3"/>
        <v>47</v>
      </c>
      <c r="I240" s="20">
        <v>2636</v>
      </c>
      <c r="J240" s="20">
        <v>8083</v>
      </c>
    </row>
    <row r="241" spans="1:10" x14ac:dyDescent="0.3">
      <c r="A241" s="20">
        <v>238</v>
      </c>
      <c r="B241" s="20">
        <v>238</v>
      </c>
      <c r="C241" s="20">
        <v>119500</v>
      </c>
      <c r="D241" s="20">
        <v>247</v>
      </c>
      <c r="E241" s="20">
        <v>247</v>
      </c>
      <c r="F241" s="20">
        <v>247</v>
      </c>
      <c r="G241" s="20">
        <v>247</v>
      </c>
      <c r="H241" s="20">
        <f t="shared" si="3"/>
        <v>47</v>
      </c>
      <c r="I241" s="20">
        <v>2651</v>
      </c>
      <c r="J241" s="20">
        <v>8130</v>
      </c>
    </row>
    <row r="242" spans="1:10" x14ac:dyDescent="0.3">
      <c r="A242" s="20">
        <v>239</v>
      </c>
      <c r="B242" s="20">
        <v>239</v>
      </c>
      <c r="C242" s="20">
        <v>120000</v>
      </c>
      <c r="D242" s="20">
        <v>248</v>
      </c>
      <c r="E242" s="20">
        <v>248</v>
      </c>
      <c r="F242" s="20">
        <v>248</v>
      </c>
      <c r="G242" s="20">
        <v>248</v>
      </c>
      <c r="H242" s="20">
        <f t="shared" si="3"/>
        <v>47</v>
      </c>
      <c r="I242" s="20">
        <v>2666</v>
      </c>
      <c r="J242" s="20">
        <v>8177</v>
      </c>
    </row>
    <row r="243" spans="1:10" x14ac:dyDescent="0.3">
      <c r="A243" s="20">
        <v>240</v>
      </c>
      <c r="B243" s="20">
        <v>240</v>
      </c>
      <c r="C243" s="20">
        <v>120500</v>
      </c>
      <c r="D243" s="20">
        <v>249</v>
      </c>
      <c r="E243" s="20">
        <v>249</v>
      </c>
      <c r="F243" s="20">
        <v>249</v>
      </c>
      <c r="G243" s="20">
        <v>249</v>
      </c>
      <c r="H243" s="20">
        <f t="shared" si="3"/>
        <v>48</v>
      </c>
      <c r="I243" s="20">
        <v>2681</v>
      </c>
      <c r="J243" s="20">
        <v>8224</v>
      </c>
    </row>
    <row r="244" spans="1:10" x14ac:dyDescent="0.3">
      <c r="A244" s="20">
        <v>241</v>
      </c>
      <c r="B244" s="20">
        <v>241</v>
      </c>
      <c r="C244" s="20">
        <v>121000</v>
      </c>
      <c r="D244" s="20">
        <v>250</v>
      </c>
      <c r="E244" s="20">
        <v>250</v>
      </c>
      <c r="F244" s="20">
        <v>250</v>
      </c>
      <c r="G244" s="20">
        <v>250</v>
      </c>
      <c r="H244" s="20">
        <f t="shared" si="3"/>
        <v>48</v>
      </c>
      <c r="I244" s="20">
        <v>2696</v>
      </c>
      <c r="J244" s="20">
        <v>8271</v>
      </c>
    </row>
    <row r="245" spans="1:10" x14ac:dyDescent="0.3">
      <c r="A245" s="20">
        <v>242</v>
      </c>
      <c r="B245" s="20">
        <v>242</v>
      </c>
      <c r="C245" s="20">
        <v>121500</v>
      </c>
      <c r="D245" s="20">
        <v>251</v>
      </c>
      <c r="E245" s="20">
        <v>251</v>
      </c>
      <c r="F245" s="20">
        <v>251</v>
      </c>
      <c r="G245" s="20">
        <v>251</v>
      </c>
      <c r="H245" s="20">
        <f t="shared" si="3"/>
        <v>48</v>
      </c>
      <c r="I245" s="20">
        <v>2711</v>
      </c>
      <c r="J245" s="20">
        <v>8318</v>
      </c>
    </row>
    <row r="246" spans="1:10" x14ac:dyDescent="0.3">
      <c r="A246" s="20">
        <v>243</v>
      </c>
      <c r="B246" s="20">
        <v>243</v>
      </c>
      <c r="C246" s="20">
        <v>122000</v>
      </c>
      <c r="D246" s="20">
        <v>252</v>
      </c>
      <c r="E246" s="20">
        <v>252</v>
      </c>
      <c r="F246" s="20">
        <v>252</v>
      </c>
      <c r="G246" s="20">
        <v>252</v>
      </c>
      <c r="H246" s="20">
        <f t="shared" si="3"/>
        <v>48</v>
      </c>
      <c r="I246" s="20">
        <v>2726</v>
      </c>
      <c r="J246" s="20">
        <v>8365</v>
      </c>
    </row>
    <row r="247" spans="1:10" x14ac:dyDescent="0.3">
      <c r="A247" s="20">
        <v>244</v>
      </c>
      <c r="B247" s="20">
        <v>244</v>
      </c>
      <c r="C247" s="20">
        <v>122500</v>
      </c>
      <c r="D247" s="20">
        <v>253</v>
      </c>
      <c r="E247" s="20">
        <v>253</v>
      </c>
      <c r="F247" s="20">
        <v>253</v>
      </c>
      <c r="G247" s="20">
        <v>253</v>
      </c>
      <c r="H247" s="20">
        <f t="shared" si="3"/>
        <v>48</v>
      </c>
      <c r="I247" s="20">
        <v>2741</v>
      </c>
      <c r="J247" s="20">
        <v>8412</v>
      </c>
    </row>
    <row r="248" spans="1:10" x14ac:dyDescent="0.3">
      <c r="A248" s="20">
        <v>245</v>
      </c>
      <c r="B248" s="20">
        <v>245</v>
      </c>
      <c r="C248" s="20">
        <v>123000</v>
      </c>
      <c r="D248" s="20">
        <v>254</v>
      </c>
      <c r="E248" s="20">
        <v>254</v>
      </c>
      <c r="F248" s="20">
        <v>254</v>
      </c>
      <c r="G248" s="20">
        <v>254</v>
      </c>
      <c r="H248" s="20">
        <f t="shared" si="3"/>
        <v>49</v>
      </c>
      <c r="I248" s="20">
        <v>2756</v>
      </c>
      <c r="J248" s="20">
        <v>8459</v>
      </c>
    </row>
    <row r="249" spans="1:10" x14ac:dyDescent="0.3">
      <c r="A249" s="20">
        <v>246</v>
      </c>
      <c r="B249" s="20">
        <v>246</v>
      </c>
      <c r="C249" s="20">
        <v>123500</v>
      </c>
      <c r="D249" s="20">
        <v>255</v>
      </c>
      <c r="E249" s="20">
        <v>255</v>
      </c>
      <c r="F249" s="20">
        <v>255</v>
      </c>
      <c r="G249" s="20">
        <v>255</v>
      </c>
      <c r="H249" s="20">
        <f t="shared" si="3"/>
        <v>49</v>
      </c>
      <c r="I249" s="20">
        <v>2771</v>
      </c>
      <c r="J249" s="20">
        <v>8506</v>
      </c>
    </row>
    <row r="250" spans="1:10" x14ac:dyDescent="0.3">
      <c r="A250" s="20">
        <v>247</v>
      </c>
      <c r="B250" s="20">
        <v>247</v>
      </c>
      <c r="C250" s="20">
        <v>124000</v>
      </c>
      <c r="D250" s="20">
        <v>256</v>
      </c>
      <c r="E250" s="20">
        <v>256</v>
      </c>
      <c r="F250" s="20">
        <v>256</v>
      </c>
      <c r="G250" s="20">
        <v>256</v>
      </c>
      <c r="H250" s="20">
        <f t="shared" si="3"/>
        <v>49</v>
      </c>
      <c r="I250" s="20">
        <v>2786</v>
      </c>
      <c r="J250" s="20">
        <v>8553</v>
      </c>
    </row>
    <row r="251" spans="1:10" x14ac:dyDescent="0.3">
      <c r="A251" s="20">
        <v>248</v>
      </c>
      <c r="B251" s="20">
        <v>248</v>
      </c>
      <c r="C251" s="20">
        <v>124500</v>
      </c>
      <c r="D251" s="20">
        <v>257</v>
      </c>
      <c r="E251" s="20">
        <v>257</v>
      </c>
      <c r="F251" s="20">
        <v>257</v>
      </c>
      <c r="G251" s="20">
        <v>257</v>
      </c>
      <c r="H251" s="20">
        <f t="shared" si="3"/>
        <v>49</v>
      </c>
      <c r="I251" s="20">
        <v>2801</v>
      </c>
      <c r="J251" s="20">
        <v>8600</v>
      </c>
    </row>
    <row r="252" spans="1:10" x14ac:dyDescent="0.3">
      <c r="A252" s="20">
        <v>249</v>
      </c>
      <c r="B252" s="20">
        <v>249</v>
      </c>
      <c r="C252" s="20">
        <v>125000</v>
      </c>
      <c r="D252" s="20">
        <v>258</v>
      </c>
      <c r="E252" s="20">
        <v>258</v>
      </c>
      <c r="F252" s="20">
        <v>258</v>
      </c>
      <c r="G252" s="20">
        <v>258</v>
      </c>
      <c r="H252" s="20">
        <f t="shared" si="3"/>
        <v>49</v>
      </c>
      <c r="I252" s="20">
        <v>2816</v>
      </c>
      <c r="J252" s="20">
        <v>8647</v>
      </c>
    </row>
    <row r="253" spans="1:10" x14ac:dyDescent="0.3">
      <c r="A253" s="20">
        <v>250</v>
      </c>
      <c r="B253" s="20">
        <v>250</v>
      </c>
      <c r="C253" s="20">
        <v>125500</v>
      </c>
      <c r="D253" s="20">
        <v>259</v>
      </c>
      <c r="E253" s="20">
        <v>259</v>
      </c>
      <c r="F253" s="20">
        <v>259</v>
      </c>
      <c r="G253" s="20">
        <v>259</v>
      </c>
      <c r="H253" s="20">
        <f t="shared" si="3"/>
        <v>50</v>
      </c>
      <c r="I253" s="20">
        <v>2831</v>
      </c>
      <c r="J253" s="20">
        <v>8694</v>
      </c>
    </row>
    <row r="254" spans="1:10" x14ac:dyDescent="0.3">
      <c r="A254" s="20">
        <v>251</v>
      </c>
      <c r="B254" s="20">
        <v>251</v>
      </c>
      <c r="C254" s="20">
        <v>126000</v>
      </c>
      <c r="D254" s="20">
        <v>260</v>
      </c>
      <c r="E254" s="20">
        <v>260</v>
      </c>
      <c r="F254" s="20">
        <v>260</v>
      </c>
      <c r="G254" s="20">
        <v>260</v>
      </c>
      <c r="H254" s="20">
        <f t="shared" si="3"/>
        <v>50</v>
      </c>
      <c r="I254" s="20">
        <v>2846</v>
      </c>
      <c r="J254" s="20">
        <v>8741</v>
      </c>
    </row>
    <row r="255" spans="1:10" x14ac:dyDescent="0.3">
      <c r="A255" s="20">
        <v>252</v>
      </c>
      <c r="B255" s="20">
        <v>252</v>
      </c>
      <c r="C255" s="20">
        <v>126500</v>
      </c>
      <c r="D255" s="20">
        <v>261</v>
      </c>
      <c r="E255" s="20">
        <v>261</v>
      </c>
      <c r="F255" s="20">
        <v>261</v>
      </c>
      <c r="G255" s="20">
        <v>261</v>
      </c>
      <c r="H255" s="20">
        <f t="shared" si="3"/>
        <v>50</v>
      </c>
      <c r="I255" s="20">
        <v>2861</v>
      </c>
      <c r="J255" s="20">
        <v>8788</v>
      </c>
    </row>
    <row r="256" spans="1:10" x14ac:dyDescent="0.3">
      <c r="A256" s="20">
        <v>253</v>
      </c>
      <c r="B256" s="20">
        <v>253</v>
      </c>
      <c r="C256" s="20">
        <v>127000</v>
      </c>
      <c r="D256" s="20">
        <v>262</v>
      </c>
      <c r="E256" s="20">
        <v>262</v>
      </c>
      <c r="F256" s="20">
        <v>262</v>
      </c>
      <c r="G256" s="20">
        <v>262</v>
      </c>
      <c r="H256" s="20">
        <f t="shared" si="3"/>
        <v>50</v>
      </c>
      <c r="I256" s="20">
        <v>2876</v>
      </c>
      <c r="J256" s="20">
        <v>8835</v>
      </c>
    </row>
    <row r="257" spans="1:10" x14ac:dyDescent="0.3">
      <c r="A257" s="20">
        <v>254</v>
      </c>
      <c r="B257" s="20">
        <v>254</v>
      </c>
      <c r="C257" s="20">
        <v>127500</v>
      </c>
      <c r="D257" s="20">
        <v>263</v>
      </c>
      <c r="E257" s="20">
        <v>263</v>
      </c>
      <c r="F257" s="20">
        <v>263</v>
      </c>
      <c r="G257" s="20">
        <v>263</v>
      </c>
      <c r="H257" s="20">
        <f t="shared" si="3"/>
        <v>50</v>
      </c>
      <c r="I257" s="20">
        <v>2891</v>
      </c>
      <c r="J257" s="20">
        <v>8882</v>
      </c>
    </row>
    <row r="258" spans="1:10" x14ac:dyDescent="0.3">
      <c r="A258" s="20">
        <v>255</v>
      </c>
      <c r="B258" s="20">
        <v>255</v>
      </c>
      <c r="C258" s="20">
        <v>128000</v>
      </c>
      <c r="D258" s="20">
        <v>264</v>
      </c>
      <c r="E258" s="20">
        <v>264</v>
      </c>
      <c r="F258" s="20">
        <v>264</v>
      </c>
      <c r="G258" s="20">
        <v>264</v>
      </c>
      <c r="H258" s="20">
        <f t="shared" si="3"/>
        <v>51</v>
      </c>
      <c r="I258" s="20">
        <v>2906</v>
      </c>
      <c r="J258" s="20">
        <v>8929</v>
      </c>
    </row>
    <row r="259" spans="1:10" x14ac:dyDescent="0.3">
      <c r="A259" s="20">
        <v>256</v>
      </c>
      <c r="B259" s="20">
        <v>256</v>
      </c>
      <c r="C259" s="20">
        <v>128500</v>
      </c>
      <c r="D259" s="20">
        <v>265</v>
      </c>
      <c r="E259" s="20">
        <v>265</v>
      </c>
      <c r="F259" s="20">
        <v>265</v>
      </c>
      <c r="G259" s="20">
        <v>265</v>
      </c>
      <c r="H259" s="20">
        <f t="shared" si="3"/>
        <v>51</v>
      </c>
      <c r="I259" s="20">
        <v>2921</v>
      </c>
      <c r="J259" s="20">
        <v>8976</v>
      </c>
    </row>
    <row r="260" spans="1:10" x14ac:dyDescent="0.3">
      <c r="A260" s="20">
        <v>257</v>
      </c>
      <c r="B260" s="20">
        <v>257</v>
      </c>
      <c r="C260" s="20">
        <v>129000</v>
      </c>
      <c r="D260" s="20">
        <v>266</v>
      </c>
      <c r="E260" s="20">
        <v>266</v>
      </c>
      <c r="F260" s="20">
        <v>266</v>
      </c>
      <c r="G260" s="20">
        <v>266</v>
      </c>
      <c r="H260" s="20">
        <f t="shared" si="3"/>
        <v>51</v>
      </c>
      <c r="I260" s="20">
        <v>2936</v>
      </c>
      <c r="J260" s="20">
        <v>9023</v>
      </c>
    </row>
    <row r="261" spans="1:10" x14ac:dyDescent="0.3">
      <c r="A261" s="20">
        <v>258</v>
      </c>
      <c r="B261" s="20">
        <v>258</v>
      </c>
      <c r="C261" s="20">
        <v>129500</v>
      </c>
      <c r="D261" s="20">
        <v>267</v>
      </c>
      <c r="E261" s="20">
        <v>267</v>
      </c>
      <c r="F261" s="20">
        <v>267</v>
      </c>
      <c r="G261" s="20">
        <v>267</v>
      </c>
      <c r="H261" s="20">
        <f t="shared" si="3"/>
        <v>51</v>
      </c>
      <c r="I261" s="20">
        <v>2951</v>
      </c>
      <c r="J261" s="20">
        <v>9070</v>
      </c>
    </row>
    <row r="262" spans="1:10" x14ac:dyDescent="0.3">
      <c r="A262" s="20">
        <v>259</v>
      </c>
      <c r="B262" s="20">
        <v>259</v>
      </c>
      <c r="C262" s="20">
        <v>130000</v>
      </c>
      <c r="D262" s="20">
        <v>268</v>
      </c>
      <c r="E262" s="20">
        <v>268</v>
      </c>
      <c r="F262" s="20">
        <v>268</v>
      </c>
      <c r="G262" s="20">
        <v>268</v>
      </c>
      <c r="H262" s="20">
        <f t="shared" si="3"/>
        <v>51</v>
      </c>
      <c r="I262" s="20">
        <v>2966</v>
      </c>
      <c r="J262" s="20">
        <v>9117</v>
      </c>
    </row>
    <row r="263" spans="1:10" x14ac:dyDescent="0.3">
      <c r="A263" s="20">
        <v>260</v>
      </c>
      <c r="B263" s="20">
        <v>260</v>
      </c>
      <c r="C263" s="20">
        <v>130500</v>
      </c>
      <c r="D263" s="20">
        <v>269</v>
      </c>
      <c r="E263" s="20">
        <v>269</v>
      </c>
      <c r="F263" s="20">
        <v>269</v>
      </c>
      <c r="G263" s="20">
        <v>269</v>
      </c>
      <c r="H263" s="20">
        <f t="shared" si="3"/>
        <v>52</v>
      </c>
      <c r="I263" s="20">
        <v>2981</v>
      </c>
      <c r="J263" s="20">
        <v>9164</v>
      </c>
    </row>
    <row r="264" spans="1:10" x14ac:dyDescent="0.3">
      <c r="A264" s="20">
        <v>261</v>
      </c>
      <c r="B264" s="20">
        <v>261</v>
      </c>
      <c r="C264" s="20">
        <v>131000</v>
      </c>
      <c r="D264" s="20">
        <v>270</v>
      </c>
      <c r="E264" s="20">
        <v>270</v>
      </c>
      <c r="F264" s="20">
        <v>270</v>
      </c>
      <c r="G264" s="20">
        <v>270</v>
      </c>
      <c r="H264" s="20">
        <f t="shared" si="3"/>
        <v>52</v>
      </c>
      <c r="I264" s="20">
        <v>2996</v>
      </c>
      <c r="J264" s="20">
        <v>9211</v>
      </c>
    </row>
    <row r="265" spans="1:10" x14ac:dyDescent="0.3">
      <c r="A265" s="20">
        <v>262</v>
      </c>
      <c r="B265" s="20">
        <v>262</v>
      </c>
      <c r="C265" s="20">
        <v>131500</v>
      </c>
      <c r="D265" s="20">
        <v>271</v>
      </c>
      <c r="E265" s="20">
        <v>271</v>
      </c>
      <c r="F265" s="20">
        <v>271</v>
      </c>
      <c r="G265" s="20">
        <v>271</v>
      </c>
      <c r="H265" s="20">
        <f t="shared" si="3"/>
        <v>52</v>
      </c>
      <c r="I265" s="20">
        <v>3011</v>
      </c>
      <c r="J265" s="20">
        <v>9258</v>
      </c>
    </row>
    <row r="266" spans="1:10" x14ac:dyDescent="0.3">
      <c r="A266" s="20">
        <v>263</v>
      </c>
      <c r="B266" s="20">
        <v>263</v>
      </c>
      <c r="C266" s="20">
        <v>132000</v>
      </c>
      <c r="D266" s="20">
        <v>272</v>
      </c>
      <c r="E266" s="20">
        <v>272</v>
      </c>
      <c r="F266" s="20">
        <v>272</v>
      </c>
      <c r="G266" s="20">
        <v>272</v>
      </c>
      <c r="H266" s="20">
        <f t="shared" ref="H266:H303" si="4">H261+1</f>
        <v>52</v>
      </c>
      <c r="I266" s="20">
        <v>3026</v>
      </c>
      <c r="J266" s="20">
        <v>9305</v>
      </c>
    </row>
    <row r="267" spans="1:10" x14ac:dyDescent="0.3">
      <c r="A267" s="20">
        <v>264</v>
      </c>
      <c r="B267" s="20">
        <v>264</v>
      </c>
      <c r="C267" s="20">
        <v>132500</v>
      </c>
      <c r="D267" s="20">
        <v>273</v>
      </c>
      <c r="E267" s="20">
        <v>273</v>
      </c>
      <c r="F267" s="20">
        <v>273</v>
      </c>
      <c r="G267" s="20">
        <v>273</v>
      </c>
      <c r="H267" s="20">
        <f t="shared" si="4"/>
        <v>52</v>
      </c>
      <c r="I267" s="20">
        <v>3041</v>
      </c>
      <c r="J267" s="20">
        <v>9352</v>
      </c>
    </row>
    <row r="268" spans="1:10" x14ac:dyDescent="0.3">
      <c r="A268" s="20">
        <v>265</v>
      </c>
      <c r="B268" s="20">
        <v>265</v>
      </c>
      <c r="C268" s="20">
        <v>133000</v>
      </c>
      <c r="D268" s="20">
        <v>274</v>
      </c>
      <c r="E268" s="20">
        <v>274</v>
      </c>
      <c r="F268" s="20">
        <v>274</v>
      </c>
      <c r="G268" s="20">
        <v>274</v>
      </c>
      <c r="H268" s="20">
        <f t="shared" si="4"/>
        <v>53</v>
      </c>
      <c r="I268" s="20">
        <v>3056</v>
      </c>
      <c r="J268" s="20">
        <v>9399</v>
      </c>
    </row>
    <row r="269" spans="1:10" x14ac:dyDescent="0.3">
      <c r="A269" s="20">
        <v>266</v>
      </c>
      <c r="B269" s="20">
        <v>266</v>
      </c>
      <c r="C269" s="20">
        <v>133500</v>
      </c>
      <c r="D269" s="20">
        <v>275</v>
      </c>
      <c r="E269" s="20">
        <v>275</v>
      </c>
      <c r="F269" s="20">
        <v>275</v>
      </c>
      <c r="G269" s="20">
        <v>275</v>
      </c>
      <c r="H269" s="20">
        <f t="shared" si="4"/>
        <v>53</v>
      </c>
      <c r="I269" s="20">
        <v>3071</v>
      </c>
      <c r="J269" s="20">
        <v>9446</v>
      </c>
    </row>
    <row r="270" spans="1:10" x14ac:dyDescent="0.3">
      <c r="A270" s="20">
        <v>267</v>
      </c>
      <c r="B270" s="20">
        <v>267</v>
      </c>
      <c r="C270" s="20">
        <v>134000</v>
      </c>
      <c r="D270" s="20">
        <v>276</v>
      </c>
      <c r="E270" s="20">
        <v>276</v>
      </c>
      <c r="F270" s="20">
        <v>276</v>
      </c>
      <c r="G270" s="20">
        <v>276</v>
      </c>
      <c r="H270" s="20">
        <f t="shared" si="4"/>
        <v>53</v>
      </c>
      <c r="I270" s="20">
        <v>3086</v>
      </c>
      <c r="J270" s="20">
        <v>9493</v>
      </c>
    </row>
    <row r="271" spans="1:10" x14ac:dyDescent="0.3">
      <c r="A271" s="20">
        <v>268</v>
      </c>
      <c r="B271" s="20">
        <v>268</v>
      </c>
      <c r="C271" s="20">
        <v>134500</v>
      </c>
      <c r="D271" s="20">
        <v>277</v>
      </c>
      <c r="E271" s="20">
        <v>277</v>
      </c>
      <c r="F271" s="20">
        <v>277</v>
      </c>
      <c r="G271" s="20">
        <v>277</v>
      </c>
      <c r="H271" s="20">
        <f t="shared" si="4"/>
        <v>53</v>
      </c>
      <c r="I271" s="20">
        <v>3101</v>
      </c>
      <c r="J271" s="20">
        <v>9540</v>
      </c>
    </row>
    <row r="272" spans="1:10" x14ac:dyDescent="0.3">
      <c r="A272" s="20">
        <v>269</v>
      </c>
      <c r="B272" s="20">
        <v>269</v>
      </c>
      <c r="C272" s="20">
        <v>135000</v>
      </c>
      <c r="D272" s="20">
        <v>278</v>
      </c>
      <c r="E272" s="20">
        <v>278</v>
      </c>
      <c r="F272" s="20">
        <v>278</v>
      </c>
      <c r="G272" s="20">
        <v>278</v>
      </c>
      <c r="H272" s="20">
        <f t="shared" si="4"/>
        <v>53</v>
      </c>
      <c r="I272" s="20">
        <v>3116</v>
      </c>
      <c r="J272" s="20">
        <v>9587</v>
      </c>
    </row>
    <row r="273" spans="1:10" x14ac:dyDescent="0.3">
      <c r="A273" s="20">
        <v>270</v>
      </c>
      <c r="B273" s="20">
        <v>270</v>
      </c>
      <c r="C273" s="20">
        <v>135500</v>
      </c>
      <c r="D273" s="20">
        <v>279</v>
      </c>
      <c r="E273" s="20">
        <v>279</v>
      </c>
      <c r="F273" s="20">
        <v>279</v>
      </c>
      <c r="G273" s="20">
        <v>279</v>
      </c>
      <c r="H273" s="20">
        <f t="shared" si="4"/>
        <v>54</v>
      </c>
      <c r="I273" s="20">
        <v>3131</v>
      </c>
      <c r="J273" s="20">
        <v>9634</v>
      </c>
    </row>
    <row r="274" spans="1:10" x14ac:dyDescent="0.3">
      <c r="A274" s="20">
        <v>271</v>
      </c>
      <c r="B274" s="20">
        <v>271</v>
      </c>
      <c r="C274" s="20">
        <v>136000</v>
      </c>
      <c r="D274" s="20">
        <v>280</v>
      </c>
      <c r="E274" s="20">
        <v>280</v>
      </c>
      <c r="F274" s="20">
        <v>280</v>
      </c>
      <c r="G274" s="20">
        <v>280</v>
      </c>
      <c r="H274" s="20">
        <f t="shared" si="4"/>
        <v>54</v>
      </c>
      <c r="I274" s="20">
        <v>3146</v>
      </c>
      <c r="J274" s="20">
        <v>9681</v>
      </c>
    </row>
    <row r="275" spans="1:10" x14ac:dyDescent="0.3">
      <c r="A275" s="20">
        <v>272</v>
      </c>
      <c r="B275" s="20">
        <v>272</v>
      </c>
      <c r="C275" s="20">
        <v>136500</v>
      </c>
      <c r="D275" s="20">
        <v>281</v>
      </c>
      <c r="E275" s="20">
        <v>281</v>
      </c>
      <c r="F275" s="20">
        <v>281</v>
      </c>
      <c r="G275" s="20">
        <v>281</v>
      </c>
      <c r="H275" s="20">
        <f t="shared" si="4"/>
        <v>54</v>
      </c>
      <c r="I275" s="20">
        <v>3161</v>
      </c>
      <c r="J275" s="20">
        <v>9728</v>
      </c>
    </row>
    <row r="276" spans="1:10" x14ac:dyDescent="0.3">
      <c r="A276" s="20">
        <v>273</v>
      </c>
      <c r="B276" s="20">
        <v>273</v>
      </c>
      <c r="C276" s="20">
        <v>137000</v>
      </c>
      <c r="D276" s="20">
        <v>282</v>
      </c>
      <c r="E276" s="20">
        <v>282</v>
      </c>
      <c r="F276" s="20">
        <v>282</v>
      </c>
      <c r="G276" s="20">
        <v>282</v>
      </c>
      <c r="H276" s="20">
        <f t="shared" si="4"/>
        <v>54</v>
      </c>
      <c r="I276" s="20">
        <v>3176</v>
      </c>
      <c r="J276" s="20">
        <v>9775</v>
      </c>
    </row>
    <row r="277" spans="1:10" x14ac:dyDescent="0.3">
      <c r="A277" s="20">
        <v>274</v>
      </c>
      <c r="B277" s="20">
        <v>274</v>
      </c>
      <c r="C277" s="20">
        <v>137500</v>
      </c>
      <c r="D277" s="20">
        <v>283</v>
      </c>
      <c r="E277" s="20">
        <v>283</v>
      </c>
      <c r="F277" s="20">
        <v>283</v>
      </c>
      <c r="G277" s="20">
        <v>283</v>
      </c>
      <c r="H277" s="20">
        <f t="shared" si="4"/>
        <v>54</v>
      </c>
      <c r="I277" s="20">
        <v>3191</v>
      </c>
      <c r="J277" s="20">
        <v>9822</v>
      </c>
    </row>
    <row r="278" spans="1:10" x14ac:dyDescent="0.3">
      <c r="A278" s="20">
        <v>275</v>
      </c>
      <c r="B278" s="20">
        <v>275</v>
      </c>
      <c r="C278" s="20">
        <v>138000</v>
      </c>
      <c r="D278" s="20">
        <v>284</v>
      </c>
      <c r="E278" s="20">
        <v>284</v>
      </c>
      <c r="F278" s="20">
        <v>284</v>
      </c>
      <c r="G278" s="20">
        <v>284</v>
      </c>
      <c r="H278" s="20">
        <f t="shared" si="4"/>
        <v>55</v>
      </c>
      <c r="I278" s="20">
        <v>3206</v>
      </c>
      <c r="J278" s="20">
        <v>9869</v>
      </c>
    </row>
    <row r="279" spans="1:10" x14ac:dyDescent="0.3">
      <c r="A279" s="20">
        <v>276</v>
      </c>
      <c r="B279" s="20">
        <v>276</v>
      </c>
      <c r="C279" s="20">
        <v>138500</v>
      </c>
      <c r="D279" s="20">
        <v>285</v>
      </c>
      <c r="E279" s="20">
        <v>285</v>
      </c>
      <c r="F279" s="20">
        <v>285</v>
      </c>
      <c r="G279" s="20">
        <v>285</v>
      </c>
      <c r="H279" s="20">
        <f t="shared" si="4"/>
        <v>55</v>
      </c>
      <c r="I279" s="20">
        <v>3221</v>
      </c>
      <c r="J279" s="20">
        <v>9916</v>
      </c>
    </row>
    <row r="280" spans="1:10" x14ac:dyDescent="0.3">
      <c r="A280" s="20">
        <v>277</v>
      </c>
      <c r="B280" s="20">
        <v>277</v>
      </c>
      <c r="C280" s="20">
        <v>139000</v>
      </c>
      <c r="D280" s="20">
        <v>286</v>
      </c>
      <c r="E280" s="20">
        <v>286</v>
      </c>
      <c r="F280" s="20">
        <v>286</v>
      </c>
      <c r="G280" s="20">
        <v>286</v>
      </c>
      <c r="H280" s="20">
        <f t="shared" si="4"/>
        <v>55</v>
      </c>
      <c r="I280" s="20">
        <v>3236</v>
      </c>
      <c r="J280" s="20">
        <v>9963</v>
      </c>
    </row>
    <row r="281" spans="1:10" x14ac:dyDescent="0.3">
      <c r="A281" s="20">
        <v>278</v>
      </c>
      <c r="B281" s="20">
        <v>278</v>
      </c>
      <c r="C281" s="20">
        <v>139500</v>
      </c>
      <c r="D281" s="20">
        <v>287</v>
      </c>
      <c r="E281" s="20">
        <v>287</v>
      </c>
      <c r="F281" s="20">
        <v>287</v>
      </c>
      <c r="G281" s="20">
        <v>287</v>
      </c>
      <c r="H281" s="20">
        <f t="shared" si="4"/>
        <v>55</v>
      </c>
      <c r="I281" s="20">
        <v>3251</v>
      </c>
      <c r="J281" s="20">
        <v>10010</v>
      </c>
    </row>
    <row r="282" spans="1:10" x14ac:dyDescent="0.3">
      <c r="A282" s="20">
        <v>279</v>
      </c>
      <c r="B282" s="20">
        <v>279</v>
      </c>
      <c r="C282" s="20">
        <v>140000</v>
      </c>
      <c r="D282" s="20">
        <v>288</v>
      </c>
      <c r="E282" s="20">
        <v>288</v>
      </c>
      <c r="F282" s="20">
        <v>288</v>
      </c>
      <c r="G282" s="20">
        <v>288</v>
      </c>
      <c r="H282" s="20">
        <f t="shared" si="4"/>
        <v>55</v>
      </c>
      <c r="I282" s="20">
        <v>3266</v>
      </c>
      <c r="J282" s="20">
        <v>10057</v>
      </c>
    </row>
    <row r="283" spans="1:10" x14ac:dyDescent="0.3">
      <c r="A283" s="20">
        <v>280</v>
      </c>
      <c r="B283" s="20">
        <v>280</v>
      </c>
      <c r="C283" s="20">
        <v>140500</v>
      </c>
      <c r="D283" s="20">
        <v>289</v>
      </c>
      <c r="E283" s="20">
        <v>289</v>
      </c>
      <c r="F283" s="20">
        <v>289</v>
      </c>
      <c r="G283" s="20">
        <v>289</v>
      </c>
      <c r="H283" s="20">
        <f t="shared" si="4"/>
        <v>56</v>
      </c>
      <c r="I283" s="20">
        <v>3281</v>
      </c>
      <c r="J283" s="20">
        <v>10104</v>
      </c>
    </row>
    <row r="284" spans="1:10" x14ac:dyDescent="0.3">
      <c r="A284" s="20">
        <v>281</v>
      </c>
      <c r="B284" s="20">
        <v>281</v>
      </c>
      <c r="C284" s="20">
        <v>141000</v>
      </c>
      <c r="D284" s="20">
        <v>290</v>
      </c>
      <c r="E284" s="20">
        <v>290</v>
      </c>
      <c r="F284" s="20">
        <v>290</v>
      </c>
      <c r="G284" s="20">
        <v>290</v>
      </c>
      <c r="H284" s="20">
        <f t="shared" si="4"/>
        <v>56</v>
      </c>
      <c r="I284" s="20">
        <v>3296</v>
      </c>
      <c r="J284" s="20">
        <v>10151</v>
      </c>
    </row>
    <row r="285" spans="1:10" x14ac:dyDescent="0.3">
      <c r="A285" s="20">
        <v>282</v>
      </c>
      <c r="B285" s="20">
        <v>282</v>
      </c>
      <c r="C285" s="20">
        <v>141500</v>
      </c>
      <c r="D285" s="20">
        <v>291</v>
      </c>
      <c r="E285" s="20">
        <v>291</v>
      </c>
      <c r="F285" s="20">
        <v>291</v>
      </c>
      <c r="G285" s="20">
        <v>291</v>
      </c>
      <c r="H285" s="20">
        <f t="shared" si="4"/>
        <v>56</v>
      </c>
      <c r="I285" s="20">
        <v>3311</v>
      </c>
      <c r="J285" s="20">
        <v>10198</v>
      </c>
    </row>
    <row r="286" spans="1:10" x14ac:dyDescent="0.3">
      <c r="A286" s="20">
        <v>283</v>
      </c>
      <c r="B286" s="20">
        <v>283</v>
      </c>
      <c r="C286" s="20">
        <v>142000</v>
      </c>
      <c r="D286" s="20">
        <v>292</v>
      </c>
      <c r="E286" s="20">
        <v>292</v>
      </c>
      <c r="F286" s="20">
        <v>292</v>
      </c>
      <c r="G286" s="20">
        <v>292</v>
      </c>
      <c r="H286" s="20">
        <f t="shared" si="4"/>
        <v>56</v>
      </c>
      <c r="I286" s="20">
        <v>3326</v>
      </c>
      <c r="J286" s="20">
        <v>10245</v>
      </c>
    </row>
    <row r="287" spans="1:10" x14ac:dyDescent="0.3">
      <c r="A287" s="20">
        <v>284</v>
      </c>
      <c r="B287" s="20">
        <v>284</v>
      </c>
      <c r="C287" s="20">
        <v>142500</v>
      </c>
      <c r="D287" s="20">
        <v>293</v>
      </c>
      <c r="E287" s="20">
        <v>293</v>
      </c>
      <c r="F287" s="20">
        <v>293</v>
      </c>
      <c r="G287" s="20">
        <v>293</v>
      </c>
      <c r="H287" s="20">
        <f t="shared" si="4"/>
        <v>56</v>
      </c>
      <c r="I287" s="20">
        <v>3341</v>
      </c>
      <c r="J287" s="20">
        <v>10292</v>
      </c>
    </row>
    <row r="288" spans="1:10" x14ac:dyDescent="0.3">
      <c r="A288" s="20">
        <v>285</v>
      </c>
      <c r="B288" s="20">
        <v>285</v>
      </c>
      <c r="C288" s="20">
        <v>143000</v>
      </c>
      <c r="D288" s="20">
        <v>294</v>
      </c>
      <c r="E288" s="20">
        <v>294</v>
      </c>
      <c r="F288" s="20">
        <v>294</v>
      </c>
      <c r="G288" s="20">
        <v>294</v>
      </c>
      <c r="H288" s="20">
        <f t="shared" si="4"/>
        <v>57</v>
      </c>
      <c r="I288" s="20">
        <v>3356</v>
      </c>
      <c r="J288" s="20">
        <v>10339</v>
      </c>
    </row>
    <row r="289" spans="1:10" x14ac:dyDescent="0.3">
      <c r="A289" s="20">
        <v>286</v>
      </c>
      <c r="B289" s="20">
        <v>286</v>
      </c>
      <c r="C289" s="20">
        <v>143500</v>
      </c>
      <c r="D289" s="20">
        <v>295</v>
      </c>
      <c r="E289" s="20">
        <v>295</v>
      </c>
      <c r="F289" s="20">
        <v>295</v>
      </c>
      <c r="G289" s="20">
        <v>295</v>
      </c>
      <c r="H289" s="20">
        <f t="shared" si="4"/>
        <v>57</v>
      </c>
      <c r="I289" s="20">
        <v>3371</v>
      </c>
      <c r="J289" s="20">
        <v>10386</v>
      </c>
    </row>
    <row r="290" spans="1:10" x14ac:dyDescent="0.3">
      <c r="A290" s="20">
        <v>287</v>
      </c>
      <c r="B290" s="20">
        <v>287</v>
      </c>
      <c r="C290" s="20">
        <v>144000</v>
      </c>
      <c r="D290" s="20">
        <v>296</v>
      </c>
      <c r="E290" s="20">
        <v>296</v>
      </c>
      <c r="F290" s="20">
        <v>296</v>
      </c>
      <c r="G290" s="20">
        <v>296</v>
      </c>
      <c r="H290" s="20">
        <f t="shared" si="4"/>
        <v>57</v>
      </c>
      <c r="I290" s="20">
        <v>3386</v>
      </c>
      <c r="J290" s="20">
        <v>10433</v>
      </c>
    </row>
    <row r="291" spans="1:10" x14ac:dyDescent="0.3">
      <c r="A291" s="20">
        <v>288</v>
      </c>
      <c r="B291" s="20">
        <v>288</v>
      </c>
      <c r="C291" s="20">
        <v>144500</v>
      </c>
      <c r="D291" s="20">
        <v>297</v>
      </c>
      <c r="E291" s="20">
        <v>297</v>
      </c>
      <c r="F291" s="20">
        <v>297</v>
      </c>
      <c r="G291" s="20">
        <v>297</v>
      </c>
      <c r="H291" s="20">
        <f t="shared" si="4"/>
        <v>57</v>
      </c>
      <c r="I291" s="20">
        <v>3401</v>
      </c>
      <c r="J291" s="20">
        <v>10480</v>
      </c>
    </row>
    <row r="292" spans="1:10" x14ac:dyDescent="0.3">
      <c r="A292" s="20">
        <v>289</v>
      </c>
      <c r="B292" s="20">
        <v>289</v>
      </c>
      <c r="C292" s="20">
        <v>145000</v>
      </c>
      <c r="D292" s="20">
        <v>298</v>
      </c>
      <c r="E292" s="20">
        <v>298</v>
      </c>
      <c r="F292" s="20">
        <v>298</v>
      </c>
      <c r="G292" s="20">
        <v>298</v>
      </c>
      <c r="H292" s="20">
        <f t="shared" si="4"/>
        <v>57</v>
      </c>
      <c r="I292" s="20">
        <v>3416</v>
      </c>
      <c r="J292" s="20">
        <v>10527</v>
      </c>
    </row>
    <row r="293" spans="1:10" x14ac:dyDescent="0.3">
      <c r="A293" s="20">
        <v>290</v>
      </c>
      <c r="B293" s="20">
        <v>290</v>
      </c>
      <c r="C293" s="20">
        <v>145500</v>
      </c>
      <c r="D293" s="20">
        <v>299</v>
      </c>
      <c r="E293" s="20">
        <v>299</v>
      </c>
      <c r="F293" s="20">
        <v>299</v>
      </c>
      <c r="G293" s="20">
        <v>299</v>
      </c>
      <c r="H293" s="20">
        <f t="shared" si="4"/>
        <v>58</v>
      </c>
      <c r="I293" s="20">
        <v>3431</v>
      </c>
      <c r="J293" s="20">
        <v>10574</v>
      </c>
    </row>
    <row r="294" spans="1:10" x14ac:dyDescent="0.3">
      <c r="A294" s="20">
        <v>291</v>
      </c>
      <c r="B294" s="20">
        <v>291</v>
      </c>
      <c r="C294" s="20">
        <v>146000</v>
      </c>
      <c r="D294" s="20">
        <v>300</v>
      </c>
      <c r="E294" s="20">
        <v>300</v>
      </c>
      <c r="F294" s="20">
        <v>300</v>
      </c>
      <c r="G294" s="20">
        <v>300</v>
      </c>
      <c r="H294" s="20">
        <f t="shared" si="4"/>
        <v>58</v>
      </c>
      <c r="I294" s="20">
        <v>3446</v>
      </c>
      <c r="J294" s="20">
        <v>10621</v>
      </c>
    </row>
    <row r="295" spans="1:10" x14ac:dyDescent="0.3">
      <c r="A295" s="20">
        <v>292</v>
      </c>
      <c r="B295" s="20">
        <v>292</v>
      </c>
      <c r="C295" s="20">
        <v>146500</v>
      </c>
      <c r="D295" s="20">
        <v>301</v>
      </c>
      <c r="E295" s="20">
        <v>301</v>
      </c>
      <c r="F295" s="20">
        <v>301</v>
      </c>
      <c r="G295" s="20">
        <v>301</v>
      </c>
      <c r="H295" s="20">
        <f t="shared" si="4"/>
        <v>58</v>
      </c>
      <c r="I295" s="20">
        <v>3461</v>
      </c>
      <c r="J295" s="20">
        <v>10668</v>
      </c>
    </row>
    <row r="296" spans="1:10" x14ac:dyDescent="0.3">
      <c r="A296" s="20">
        <v>293</v>
      </c>
      <c r="B296" s="20">
        <v>293</v>
      </c>
      <c r="C296" s="20">
        <v>147000</v>
      </c>
      <c r="D296" s="20">
        <v>302</v>
      </c>
      <c r="E296" s="20">
        <v>302</v>
      </c>
      <c r="F296" s="20">
        <v>302</v>
      </c>
      <c r="G296" s="20">
        <v>302</v>
      </c>
      <c r="H296" s="20">
        <f t="shared" si="4"/>
        <v>58</v>
      </c>
      <c r="I296" s="20">
        <v>3476</v>
      </c>
      <c r="J296" s="20">
        <v>10715</v>
      </c>
    </row>
    <row r="297" spans="1:10" x14ac:dyDescent="0.3">
      <c r="A297" s="20">
        <v>294</v>
      </c>
      <c r="B297" s="20">
        <v>294</v>
      </c>
      <c r="C297" s="20">
        <v>147500</v>
      </c>
      <c r="D297" s="20">
        <v>303</v>
      </c>
      <c r="E297" s="20">
        <v>303</v>
      </c>
      <c r="F297" s="20">
        <v>303</v>
      </c>
      <c r="G297" s="20">
        <v>303</v>
      </c>
      <c r="H297" s="20">
        <f t="shared" si="4"/>
        <v>58</v>
      </c>
      <c r="I297" s="20">
        <v>3491</v>
      </c>
      <c r="J297" s="20">
        <v>10762</v>
      </c>
    </row>
    <row r="298" spans="1:10" x14ac:dyDescent="0.3">
      <c r="A298" s="20">
        <v>295</v>
      </c>
      <c r="B298" s="20">
        <v>295</v>
      </c>
      <c r="C298" s="20">
        <v>148000</v>
      </c>
      <c r="D298" s="20">
        <v>304</v>
      </c>
      <c r="E298" s="20">
        <v>304</v>
      </c>
      <c r="F298" s="20">
        <v>304</v>
      </c>
      <c r="G298" s="20">
        <v>304</v>
      </c>
      <c r="H298" s="20">
        <f t="shared" si="4"/>
        <v>59</v>
      </c>
      <c r="I298" s="20">
        <v>3506</v>
      </c>
      <c r="J298" s="20">
        <v>10809</v>
      </c>
    </row>
    <row r="299" spans="1:10" x14ac:dyDescent="0.3">
      <c r="A299" s="20">
        <v>296</v>
      </c>
      <c r="B299" s="20">
        <v>296</v>
      </c>
      <c r="C299" s="20">
        <v>148500</v>
      </c>
      <c r="D299" s="20">
        <v>305</v>
      </c>
      <c r="E299" s="20">
        <v>305</v>
      </c>
      <c r="F299" s="20">
        <v>305</v>
      </c>
      <c r="G299" s="20">
        <v>305</v>
      </c>
      <c r="H299" s="20">
        <f t="shared" si="4"/>
        <v>59</v>
      </c>
      <c r="I299" s="20">
        <v>3521</v>
      </c>
      <c r="J299" s="20">
        <v>10856</v>
      </c>
    </row>
    <row r="300" spans="1:10" x14ac:dyDescent="0.3">
      <c r="A300" s="20">
        <v>297</v>
      </c>
      <c r="B300" s="20">
        <v>297</v>
      </c>
      <c r="C300" s="20">
        <v>149000</v>
      </c>
      <c r="D300" s="20">
        <v>306</v>
      </c>
      <c r="E300" s="20">
        <v>306</v>
      </c>
      <c r="F300" s="20">
        <v>306</v>
      </c>
      <c r="G300" s="20">
        <v>306</v>
      </c>
      <c r="H300" s="20">
        <f t="shared" si="4"/>
        <v>59</v>
      </c>
      <c r="I300" s="20">
        <v>3536</v>
      </c>
      <c r="J300" s="20">
        <v>10903</v>
      </c>
    </row>
    <row r="301" spans="1:10" x14ac:dyDescent="0.3">
      <c r="A301" s="20">
        <v>298</v>
      </c>
      <c r="B301" s="20">
        <v>298</v>
      </c>
      <c r="C301" s="20">
        <v>149500</v>
      </c>
      <c r="D301" s="20">
        <v>307</v>
      </c>
      <c r="E301" s="20">
        <v>307</v>
      </c>
      <c r="F301" s="20">
        <v>307</v>
      </c>
      <c r="G301" s="20">
        <v>307</v>
      </c>
      <c r="H301" s="20">
        <f t="shared" si="4"/>
        <v>59</v>
      </c>
      <c r="I301" s="20">
        <v>3551</v>
      </c>
      <c r="J301" s="20">
        <v>10950</v>
      </c>
    </row>
    <row r="302" spans="1:10" x14ac:dyDescent="0.3">
      <c r="A302" s="20">
        <v>299</v>
      </c>
      <c r="B302" s="20">
        <v>299</v>
      </c>
      <c r="C302" s="20">
        <v>150000</v>
      </c>
      <c r="D302" s="20">
        <v>308</v>
      </c>
      <c r="E302" s="20">
        <v>308</v>
      </c>
      <c r="F302" s="20">
        <v>308</v>
      </c>
      <c r="G302" s="20">
        <v>308</v>
      </c>
      <c r="H302" s="20">
        <f t="shared" si="4"/>
        <v>59</v>
      </c>
      <c r="I302" s="20">
        <v>3566</v>
      </c>
      <c r="J302" s="20">
        <v>10997</v>
      </c>
    </row>
    <row r="303" spans="1:10" x14ac:dyDescent="0.3">
      <c r="A303" s="20">
        <v>300</v>
      </c>
      <c r="B303" s="20">
        <v>300</v>
      </c>
      <c r="C303" s="20">
        <v>150500</v>
      </c>
      <c r="D303" s="20">
        <v>309</v>
      </c>
      <c r="E303" s="20">
        <v>309</v>
      </c>
      <c r="F303" s="20">
        <v>309</v>
      </c>
      <c r="G303" s="20">
        <v>309</v>
      </c>
      <c r="H303" s="20">
        <f t="shared" si="4"/>
        <v>60</v>
      </c>
      <c r="I303" s="20">
        <v>3581</v>
      </c>
      <c r="J303" s="20">
        <v>11044</v>
      </c>
    </row>
    <row r="304" spans="1:10" x14ac:dyDescent="0.3">
      <c r="A304" s="20">
        <v>301</v>
      </c>
      <c r="B304" s="20">
        <v>301</v>
      </c>
      <c r="C304" s="20">
        <v>151000</v>
      </c>
    </row>
    <row r="305" spans="1:3" x14ac:dyDescent="0.3">
      <c r="A305" s="20">
        <v>302</v>
      </c>
      <c r="B305" s="20">
        <v>302</v>
      </c>
      <c r="C305" s="20">
        <v>151500</v>
      </c>
    </row>
    <row r="306" spans="1:3" x14ac:dyDescent="0.3">
      <c r="A306" s="20">
        <v>303</v>
      </c>
      <c r="B306" s="20">
        <v>303</v>
      </c>
      <c r="C306" s="20">
        <v>152000</v>
      </c>
    </row>
    <row r="307" spans="1:3" x14ac:dyDescent="0.3">
      <c r="A307" s="20">
        <v>304</v>
      </c>
      <c r="B307" s="20">
        <v>304</v>
      </c>
      <c r="C307" s="20">
        <v>152500</v>
      </c>
    </row>
    <row r="308" spans="1:3" x14ac:dyDescent="0.3">
      <c r="A308" s="20">
        <v>305</v>
      </c>
      <c r="B308" s="20">
        <v>305</v>
      </c>
      <c r="C308" s="20">
        <v>153000</v>
      </c>
    </row>
    <row r="309" spans="1:3" x14ac:dyDescent="0.3">
      <c r="A309" s="20">
        <v>306</v>
      </c>
      <c r="B309" s="20">
        <v>306</v>
      </c>
      <c r="C309" s="20">
        <v>153500</v>
      </c>
    </row>
    <row r="310" spans="1:3" x14ac:dyDescent="0.3">
      <c r="A310" s="20">
        <v>307</v>
      </c>
      <c r="B310" s="20">
        <v>307</v>
      </c>
      <c r="C310" s="20">
        <v>154000</v>
      </c>
    </row>
    <row r="311" spans="1:3" x14ac:dyDescent="0.3">
      <c r="A311" s="20">
        <v>308</v>
      </c>
      <c r="B311" s="20">
        <v>308</v>
      </c>
      <c r="C311" s="20">
        <v>154500</v>
      </c>
    </row>
    <row r="312" spans="1:3" x14ac:dyDescent="0.3">
      <c r="A312" s="20">
        <v>309</v>
      </c>
      <c r="B312" s="20">
        <v>309</v>
      </c>
      <c r="C312" s="20">
        <v>155000</v>
      </c>
    </row>
    <row r="313" spans="1:3" x14ac:dyDescent="0.3">
      <c r="A313" s="20">
        <v>310</v>
      </c>
      <c r="B313" s="20">
        <v>310</v>
      </c>
      <c r="C313" s="20">
        <v>155500</v>
      </c>
    </row>
    <row r="314" spans="1:3" x14ac:dyDescent="0.3">
      <c r="A314" s="20">
        <v>311</v>
      </c>
      <c r="B314" s="20">
        <v>311</v>
      </c>
      <c r="C314" s="20">
        <v>156000</v>
      </c>
    </row>
    <row r="315" spans="1:3" x14ac:dyDescent="0.3">
      <c r="A315" s="20">
        <v>312</v>
      </c>
      <c r="B315" s="20">
        <v>312</v>
      </c>
      <c r="C315" s="20">
        <v>156500</v>
      </c>
    </row>
    <row r="316" spans="1:3" x14ac:dyDescent="0.3">
      <c r="A316" s="20">
        <v>313</v>
      </c>
      <c r="B316" s="20">
        <v>313</v>
      </c>
      <c r="C316" s="20">
        <v>157000</v>
      </c>
    </row>
    <row r="317" spans="1:3" x14ac:dyDescent="0.3">
      <c r="A317" s="20">
        <v>314</v>
      </c>
      <c r="B317" s="20">
        <v>314</v>
      </c>
      <c r="C317" s="20">
        <v>157500</v>
      </c>
    </row>
    <row r="318" spans="1:3" x14ac:dyDescent="0.3">
      <c r="A318" s="20">
        <v>315</v>
      </c>
      <c r="B318" s="20">
        <v>315</v>
      </c>
      <c r="C318" s="20">
        <v>158000</v>
      </c>
    </row>
    <row r="319" spans="1:3" x14ac:dyDescent="0.3">
      <c r="A319" s="20">
        <v>316</v>
      </c>
      <c r="B319" s="20">
        <v>316</v>
      </c>
      <c r="C319" s="20">
        <v>158500</v>
      </c>
    </row>
    <row r="320" spans="1:3" x14ac:dyDescent="0.3">
      <c r="A320" s="20">
        <v>317</v>
      </c>
      <c r="B320" s="20">
        <v>317</v>
      </c>
      <c r="C320" s="20">
        <v>159000</v>
      </c>
    </row>
    <row r="321" spans="1:3" x14ac:dyDescent="0.3">
      <c r="A321" s="20">
        <v>318</v>
      </c>
      <c r="B321" s="20">
        <v>318</v>
      </c>
      <c r="C321" s="20">
        <v>159500</v>
      </c>
    </row>
    <row r="322" spans="1:3" x14ac:dyDescent="0.3">
      <c r="A322" s="20">
        <v>319</v>
      </c>
      <c r="B322" s="20">
        <v>319</v>
      </c>
      <c r="C322" s="20">
        <v>160000</v>
      </c>
    </row>
    <row r="323" spans="1:3" x14ac:dyDescent="0.3">
      <c r="A323" s="20">
        <v>320</v>
      </c>
      <c r="B323" s="20">
        <v>320</v>
      </c>
      <c r="C323" s="20">
        <v>160500</v>
      </c>
    </row>
    <row r="324" spans="1:3" x14ac:dyDescent="0.3">
      <c r="A324" s="20">
        <v>321</v>
      </c>
      <c r="B324" s="20">
        <v>321</v>
      </c>
      <c r="C324" s="20">
        <v>161000</v>
      </c>
    </row>
    <row r="325" spans="1:3" x14ac:dyDescent="0.3">
      <c r="A325" s="20">
        <v>322</v>
      </c>
      <c r="B325" s="20">
        <v>322</v>
      </c>
      <c r="C325" s="20">
        <v>161500</v>
      </c>
    </row>
    <row r="326" spans="1:3" x14ac:dyDescent="0.3">
      <c r="A326" s="20">
        <v>323</v>
      </c>
      <c r="B326" s="20">
        <v>323</v>
      </c>
      <c r="C326" s="20">
        <v>162000</v>
      </c>
    </row>
    <row r="327" spans="1:3" x14ac:dyDescent="0.3">
      <c r="A327" s="20">
        <v>324</v>
      </c>
      <c r="B327" s="20">
        <v>324</v>
      </c>
      <c r="C327" s="20">
        <v>162500</v>
      </c>
    </row>
    <row r="328" spans="1:3" x14ac:dyDescent="0.3">
      <c r="A328" s="20">
        <v>325</v>
      </c>
      <c r="B328" s="20">
        <v>325</v>
      </c>
      <c r="C328" s="20">
        <v>163000</v>
      </c>
    </row>
    <row r="329" spans="1:3" x14ac:dyDescent="0.3">
      <c r="A329" s="20">
        <v>326</v>
      </c>
      <c r="B329" s="20">
        <v>326</v>
      </c>
      <c r="C329" s="20">
        <v>163500</v>
      </c>
    </row>
    <row r="330" spans="1:3" x14ac:dyDescent="0.3">
      <c r="A330" s="20">
        <v>327</v>
      </c>
      <c r="B330" s="20">
        <v>327</v>
      </c>
      <c r="C330" s="20">
        <v>164000</v>
      </c>
    </row>
    <row r="331" spans="1:3" x14ac:dyDescent="0.3">
      <c r="A331" s="20">
        <v>328</v>
      </c>
      <c r="B331" s="20">
        <v>328</v>
      </c>
      <c r="C331" s="20">
        <v>164500</v>
      </c>
    </row>
    <row r="332" spans="1:3" x14ac:dyDescent="0.3">
      <c r="A332" s="20">
        <v>329</v>
      </c>
      <c r="B332" s="20">
        <v>329</v>
      </c>
      <c r="C332" s="20">
        <v>165000</v>
      </c>
    </row>
    <row r="333" spans="1:3" x14ac:dyDescent="0.3">
      <c r="A333" s="20">
        <v>330</v>
      </c>
      <c r="B333" s="20">
        <v>330</v>
      </c>
      <c r="C333" s="20">
        <v>165500</v>
      </c>
    </row>
    <row r="334" spans="1:3" x14ac:dyDescent="0.3">
      <c r="A334" s="20">
        <v>331</v>
      </c>
      <c r="B334" s="20">
        <v>331</v>
      </c>
      <c r="C334" s="20">
        <v>166000</v>
      </c>
    </row>
    <row r="335" spans="1:3" x14ac:dyDescent="0.3">
      <c r="A335" s="20">
        <v>332</v>
      </c>
      <c r="B335" s="20">
        <v>332</v>
      </c>
      <c r="C335" s="20">
        <v>166500</v>
      </c>
    </row>
    <row r="336" spans="1:3" x14ac:dyDescent="0.3">
      <c r="A336" s="20">
        <v>333</v>
      </c>
      <c r="B336" s="20">
        <v>333</v>
      </c>
      <c r="C336" s="20">
        <v>167000</v>
      </c>
    </row>
    <row r="337" spans="1:3" x14ac:dyDescent="0.3">
      <c r="A337" s="20">
        <v>334</v>
      </c>
      <c r="B337" s="20">
        <v>334</v>
      </c>
      <c r="C337" s="20">
        <v>167500</v>
      </c>
    </row>
    <row r="338" spans="1:3" x14ac:dyDescent="0.3">
      <c r="A338" s="20">
        <v>335</v>
      </c>
      <c r="B338" s="20">
        <v>335</v>
      </c>
      <c r="C338" s="20">
        <v>168000</v>
      </c>
    </row>
    <row r="339" spans="1:3" x14ac:dyDescent="0.3">
      <c r="A339" s="20">
        <v>336</v>
      </c>
      <c r="B339" s="20">
        <v>336</v>
      </c>
      <c r="C339" s="20">
        <v>168500</v>
      </c>
    </row>
    <row r="340" spans="1:3" x14ac:dyDescent="0.3">
      <c r="A340" s="20">
        <v>337</v>
      </c>
      <c r="B340" s="20">
        <v>337</v>
      </c>
      <c r="C340" s="20">
        <v>169000</v>
      </c>
    </row>
    <row r="341" spans="1:3" x14ac:dyDescent="0.3">
      <c r="A341" s="20">
        <v>338</v>
      </c>
      <c r="B341" s="20">
        <v>338</v>
      </c>
      <c r="C341" s="20">
        <v>169500</v>
      </c>
    </row>
    <row r="342" spans="1:3" x14ac:dyDescent="0.3">
      <c r="A342" s="20">
        <v>339</v>
      </c>
      <c r="B342" s="20">
        <v>339</v>
      </c>
      <c r="C342" s="20">
        <v>170000</v>
      </c>
    </row>
    <row r="343" spans="1:3" x14ac:dyDescent="0.3">
      <c r="A343" s="20">
        <v>340</v>
      </c>
      <c r="B343" s="20">
        <v>340</v>
      </c>
      <c r="C343" s="20">
        <v>170500</v>
      </c>
    </row>
    <row r="344" spans="1:3" x14ac:dyDescent="0.3">
      <c r="A344" s="20">
        <v>341</v>
      </c>
      <c r="B344" s="20">
        <v>341</v>
      </c>
      <c r="C344" s="20">
        <v>171000</v>
      </c>
    </row>
    <row r="345" spans="1:3" x14ac:dyDescent="0.3">
      <c r="A345" s="20">
        <v>342</v>
      </c>
      <c r="B345" s="20">
        <v>342</v>
      </c>
      <c r="C345" s="20">
        <v>171500</v>
      </c>
    </row>
    <row r="346" spans="1:3" x14ac:dyDescent="0.3">
      <c r="A346" s="20">
        <v>343</v>
      </c>
      <c r="B346" s="20">
        <v>343</v>
      </c>
      <c r="C346" s="20">
        <v>172000</v>
      </c>
    </row>
    <row r="347" spans="1:3" x14ac:dyDescent="0.3">
      <c r="A347" s="20">
        <v>344</v>
      </c>
      <c r="B347" s="20">
        <v>344</v>
      </c>
      <c r="C347" s="20">
        <v>172500</v>
      </c>
    </row>
    <row r="348" spans="1:3" x14ac:dyDescent="0.3">
      <c r="A348" s="20">
        <v>345</v>
      </c>
      <c r="B348" s="20">
        <v>345</v>
      </c>
      <c r="C348" s="20">
        <v>173000</v>
      </c>
    </row>
    <row r="349" spans="1:3" x14ac:dyDescent="0.3">
      <c r="A349" s="20">
        <v>346</v>
      </c>
      <c r="B349" s="20">
        <v>346</v>
      </c>
      <c r="C349" s="20">
        <v>173500</v>
      </c>
    </row>
    <row r="350" spans="1:3" x14ac:dyDescent="0.3">
      <c r="A350" s="20">
        <v>347</v>
      </c>
      <c r="B350" s="20">
        <v>347</v>
      </c>
      <c r="C350" s="20">
        <v>174000</v>
      </c>
    </row>
    <row r="351" spans="1:3" x14ac:dyDescent="0.3">
      <c r="A351" s="20">
        <v>348</v>
      </c>
      <c r="B351" s="20">
        <v>348</v>
      </c>
      <c r="C351" s="20">
        <v>174500</v>
      </c>
    </row>
    <row r="352" spans="1:3" x14ac:dyDescent="0.3">
      <c r="A352" s="20">
        <v>349</v>
      </c>
      <c r="B352" s="20">
        <v>349</v>
      </c>
      <c r="C352" s="20">
        <v>175000</v>
      </c>
    </row>
    <row r="353" spans="1:3" x14ac:dyDescent="0.3">
      <c r="A353" s="20">
        <v>350</v>
      </c>
      <c r="B353" s="20">
        <v>350</v>
      </c>
      <c r="C353" s="20">
        <v>175500</v>
      </c>
    </row>
    <row r="354" spans="1:3" x14ac:dyDescent="0.3">
      <c r="A354" s="20">
        <v>351</v>
      </c>
      <c r="B354" s="20">
        <v>351</v>
      </c>
      <c r="C354" s="20">
        <v>176000</v>
      </c>
    </row>
    <row r="355" spans="1:3" x14ac:dyDescent="0.3">
      <c r="A355" s="20">
        <v>352</v>
      </c>
      <c r="B355" s="20">
        <v>352</v>
      </c>
      <c r="C355" s="20">
        <v>176500</v>
      </c>
    </row>
    <row r="356" spans="1:3" x14ac:dyDescent="0.3">
      <c r="A356" s="20">
        <v>353</v>
      </c>
      <c r="B356" s="20">
        <v>353</v>
      </c>
      <c r="C356" s="20">
        <v>177000</v>
      </c>
    </row>
    <row r="357" spans="1:3" x14ac:dyDescent="0.3">
      <c r="A357" s="20">
        <v>354</v>
      </c>
      <c r="B357" s="20">
        <v>354</v>
      </c>
      <c r="C357" s="20">
        <v>177500</v>
      </c>
    </row>
    <row r="358" spans="1:3" x14ac:dyDescent="0.3">
      <c r="A358" s="20">
        <v>355</v>
      </c>
      <c r="B358" s="20">
        <v>355</v>
      </c>
      <c r="C358" s="20">
        <v>178000</v>
      </c>
    </row>
    <row r="359" spans="1:3" x14ac:dyDescent="0.3">
      <c r="A359" s="20">
        <v>356</v>
      </c>
      <c r="B359" s="20">
        <v>356</v>
      </c>
      <c r="C359" s="20">
        <v>178500</v>
      </c>
    </row>
    <row r="360" spans="1:3" x14ac:dyDescent="0.3">
      <c r="A360" s="20">
        <v>357</v>
      </c>
      <c r="B360" s="20">
        <v>357</v>
      </c>
      <c r="C360" s="20">
        <v>179000</v>
      </c>
    </row>
    <row r="361" spans="1:3" x14ac:dyDescent="0.3">
      <c r="A361" s="20">
        <v>358</v>
      </c>
      <c r="B361" s="20">
        <v>358</v>
      </c>
      <c r="C361" s="20">
        <v>179500</v>
      </c>
    </row>
    <row r="362" spans="1:3" x14ac:dyDescent="0.3">
      <c r="A362" s="20">
        <v>359</v>
      </c>
      <c r="B362" s="20">
        <v>359</v>
      </c>
      <c r="C362" s="20">
        <v>180000</v>
      </c>
    </row>
    <row r="363" spans="1:3" x14ac:dyDescent="0.3">
      <c r="A363" s="20">
        <v>360</v>
      </c>
      <c r="B363" s="20">
        <v>360</v>
      </c>
      <c r="C363" s="20">
        <v>180500</v>
      </c>
    </row>
    <row r="364" spans="1:3" x14ac:dyDescent="0.3">
      <c r="A364" s="20">
        <v>361</v>
      </c>
      <c r="B364" s="20">
        <v>361</v>
      </c>
      <c r="C364" s="20">
        <v>181000</v>
      </c>
    </row>
    <row r="365" spans="1:3" x14ac:dyDescent="0.3">
      <c r="A365" s="20">
        <v>362</v>
      </c>
      <c r="B365" s="20">
        <v>362</v>
      </c>
      <c r="C365" s="20">
        <v>181500</v>
      </c>
    </row>
    <row r="366" spans="1:3" x14ac:dyDescent="0.3">
      <c r="A366" s="20">
        <v>363</v>
      </c>
      <c r="B366" s="20">
        <v>363</v>
      </c>
      <c r="C366" s="20">
        <v>182000</v>
      </c>
    </row>
    <row r="367" spans="1:3" x14ac:dyDescent="0.3">
      <c r="A367" s="20">
        <v>364</v>
      </c>
      <c r="B367" s="20">
        <v>364</v>
      </c>
      <c r="C367" s="20">
        <v>182500</v>
      </c>
    </row>
    <row r="368" spans="1:3" x14ac:dyDescent="0.3">
      <c r="A368" s="20">
        <v>365</v>
      </c>
      <c r="B368" s="20">
        <v>365</v>
      </c>
      <c r="C368" s="20">
        <v>183000</v>
      </c>
    </row>
    <row r="369" spans="1:3" x14ac:dyDescent="0.3">
      <c r="A369" s="20">
        <v>366</v>
      </c>
      <c r="B369" s="20">
        <v>366</v>
      </c>
      <c r="C369" s="20">
        <v>183500</v>
      </c>
    </row>
    <row r="370" spans="1:3" x14ac:dyDescent="0.3">
      <c r="A370" s="20">
        <v>367</v>
      </c>
      <c r="B370" s="20">
        <v>367</v>
      </c>
      <c r="C370" s="20">
        <v>184000</v>
      </c>
    </row>
    <row r="371" spans="1:3" x14ac:dyDescent="0.3">
      <c r="A371" s="20">
        <v>368</v>
      </c>
      <c r="B371" s="20">
        <v>368</v>
      </c>
      <c r="C371" s="20">
        <v>184500</v>
      </c>
    </row>
    <row r="372" spans="1:3" x14ac:dyDescent="0.3">
      <c r="A372" s="20">
        <v>369</v>
      </c>
      <c r="B372" s="20">
        <v>369</v>
      </c>
      <c r="C372" s="20">
        <v>185000</v>
      </c>
    </row>
    <row r="373" spans="1:3" x14ac:dyDescent="0.3">
      <c r="A373" s="20">
        <v>370</v>
      </c>
      <c r="B373" s="20">
        <v>370</v>
      </c>
      <c r="C373" s="20">
        <v>185500</v>
      </c>
    </row>
    <row r="374" spans="1:3" x14ac:dyDescent="0.3">
      <c r="A374" s="20">
        <v>371</v>
      </c>
      <c r="B374" s="20">
        <v>371</v>
      </c>
      <c r="C374" s="20">
        <v>186000</v>
      </c>
    </row>
    <row r="375" spans="1:3" x14ac:dyDescent="0.3">
      <c r="A375" s="20">
        <v>372</v>
      </c>
      <c r="B375" s="20">
        <v>372</v>
      </c>
      <c r="C375" s="20">
        <v>186500</v>
      </c>
    </row>
    <row r="376" spans="1:3" x14ac:dyDescent="0.3">
      <c r="A376" s="20">
        <v>373</v>
      </c>
      <c r="B376" s="20">
        <v>373</v>
      </c>
      <c r="C376" s="20">
        <v>187000</v>
      </c>
    </row>
    <row r="377" spans="1:3" x14ac:dyDescent="0.3">
      <c r="A377" s="20">
        <v>374</v>
      </c>
      <c r="B377" s="20">
        <v>374</v>
      </c>
      <c r="C377" s="20">
        <v>187500</v>
      </c>
    </row>
    <row r="378" spans="1:3" x14ac:dyDescent="0.3">
      <c r="A378" s="20">
        <v>375</v>
      </c>
      <c r="B378" s="20">
        <v>375</v>
      </c>
      <c r="C378" s="20">
        <v>188000</v>
      </c>
    </row>
    <row r="379" spans="1:3" x14ac:dyDescent="0.3">
      <c r="A379" s="20">
        <v>376</v>
      </c>
      <c r="B379" s="20">
        <v>376</v>
      </c>
      <c r="C379" s="20">
        <v>188500</v>
      </c>
    </row>
    <row r="380" spans="1:3" x14ac:dyDescent="0.3">
      <c r="A380" s="20">
        <v>377</v>
      </c>
      <c r="B380" s="20">
        <v>377</v>
      </c>
      <c r="C380" s="20">
        <v>189000</v>
      </c>
    </row>
    <row r="381" spans="1:3" x14ac:dyDescent="0.3">
      <c r="A381" s="20">
        <v>378</v>
      </c>
      <c r="B381" s="20">
        <v>378</v>
      </c>
      <c r="C381" s="20">
        <v>189500</v>
      </c>
    </row>
    <row r="382" spans="1:3" x14ac:dyDescent="0.3">
      <c r="A382" s="20">
        <v>379</v>
      </c>
      <c r="B382" s="20">
        <v>379</v>
      </c>
      <c r="C382" s="20">
        <v>190000</v>
      </c>
    </row>
    <row r="383" spans="1:3" x14ac:dyDescent="0.3">
      <c r="A383" s="20">
        <v>380</v>
      </c>
      <c r="B383" s="20">
        <v>380</v>
      </c>
      <c r="C383" s="20">
        <v>190500</v>
      </c>
    </row>
    <row r="384" spans="1:3" x14ac:dyDescent="0.3">
      <c r="A384" s="20">
        <v>381</v>
      </c>
      <c r="B384" s="20">
        <v>381</v>
      </c>
      <c r="C384" s="20">
        <v>191000</v>
      </c>
    </row>
    <row r="385" spans="1:3" x14ac:dyDescent="0.3">
      <c r="A385" s="20">
        <v>382</v>
      </c>
      <c r="B385" s="20">
        <v>382</v>
      </c>
      <c r="C385" s="20">
        <v>191500</v>
      </c>
    </row>
    <row r="386" spans="1:3" x14ac:dyDescent="0.3">
      <c r="A386" s="20">
        <v>383</v>
      </c>
      <c r="B386" s="20">
        <v>383</v>
      </c>
      <c r="C386" s="20">
        <v>192000</v>
      </c>
    </row>
    <row r="387" spans="1:3" x14ac:dyDescent="0.3">
      <c r="A387" s="20">
        <v>384</v>
      </c>
      <c r="B387" s="20">
        <v>384</v>
      </c>
      <c r="C387" s="20">
        <v>192500</v>
      </c>
    </row>
    <row r="388" spans="1:3" x14ac:dyDescent="0.3">
      <c r="A388" s="20">
        <v>385</v>
      </c>
      <c r="B388" s="20">
        <v>385</v>
      </c>
      <c r="C388" s="20">
        <v>193000</v>
      </c>
    </row>
    <row r="389" spans="1:3" x14ac:dyDescent="0.3">
      <c r="A389" s="20">
        <v>386</v>
      </c>
      <c r="B389" s="20">
        <v>386</v>
      </c>
      <c r="C389" s="20">
        <v>193500</v>
      </c>
    </row>
    <row r="390" spans="1:3" x14ac:dyDescent="0.3">
      <c r="A390" s="20">
        <v>387</v>
      </c>
      <c r="B390" s="20">
        <v>387</v>
      </c>
      <c r="C390" s="20">
        <v>194000</v>
      </c>
    </row>
    <row r="391" spans="1:3" x14ac:dyDescent="0.3">
      <c r="A391" s="20">
        <v>388</v>
      </c>
      <c r="B391" s="20">
        <v>388</v>
      </c>
      <c r="C391" s="20">
        <v>194500</v>
      </c>
    </row>
    <row r="392" spans="1:3" x14ac:dyDescent="0.3">
      <c r="A392" s="20">
        <v>389</v>
      </c>
      <c r="B392" s="20">
        <v>389</v>
      </c>
      <c r="C392" s="20">
        <v>195000</v>
      </c>
    </row>
    <row r="393" spans="1:3" x14ac:dyDescent="0.3">
      <c r="A393" s="20">
        <v>390</v>
      </c>
      <c r="B393" s="20">
        <v>390</v>
      </c>
      <c r="C393" s="20">
        <v>195500</v>
      </c>
    </row>
    <row r="394" spans="1:3" x14ac:dyDescent="0.3">
      <c r="A394" s="20">
        <v>391</v>
      </c>
      <c r="B394" s="20">
        <v>391</v>
      </c>
      <c r="C394" s="20">
        <v>196000</v>
      </c>
    </row>
    <row r="395" spans="1:3" x14ac:dyDescent="0.3">
      <c r="A395" s="20">
        <v>392</v>
      </c>
      <c r="B395" s="20">
        <v>392</v>
      </c>
      <c r="C395" s="20">
        <v>196500</v>
      </c>
    </row>
    <row r="396" spans="1:3" x14ac:dyDescent="0.3">
      <c r="A396" s="20">
        <v>393</v>
      </c>
      <c r="B396" s="20">
        <v>393</v>
      </c>
      <c r="C396" s="20">
        <v>197000</v>
      </c>
    </row>
    <row r="397" spans="1:3" x14ac:dyDescent="0.3">
      <c r="A397" s="20">
        <v>394</v>
      </c>
      <c r="B397" s="20">
        <v>394</v>
      </c>
      <c r="C397" s="20">
        <v>197500</v>
      </c>
    </row>
    <row r="398" spans="1:3" x14ac:dyDescent="0.3">
      <c r="A398" s="20">
        <v>395</v>
      </c>
      <c r="B398" s="20">
        <v>395</v>
      </c>
      <c r="C398" s="20">
        <v>198000</v>
      </c>
    </row>
    <row r="399" spans="1:3" x14ac:dyDescent="0.3">
      <c r="A399" s="20">
        <v>396</v>
      </c>
      <c r="B399" s="20">
        <v>396</v>
      </c>
      <c r="C399" s="20">
        <v>198500</v>
      </c>
    </row>
    <row r="400" spans="1:3" x14ac:dyDescent="0.3">
      <c r="A400" s="20">
        <v>397</v>
      </c>
      <c r="B400" s="20">
        <v>397</v>
      </c>
      <c r="C400" s="20">
        <v>199000</v>
      </c>
    </row>
    <row r="401" spans="1:3" x14ac:dyDescent="0.3">
      <c r="A401" s="20">
        <v>398</v>
      </c>
      <c r="B401" s="20">
        <v>398</v>
      </c>
      <c r="C401" s="20">
        <v>199500</v>
      </c>
    </row>
    <row r="402" spans="1:3" x14ac:dyDescent="0.3">
      <c r="A402" s="20">
        <v>399</v>
      </c>
      <c r="B402" s="20">
        <v>399</v>
      </c>
      <c r="C402" s="20">
        <v>200000</v>
      </c>
    </row>
    <row r="403" spans="1:3" x14ac:dyDescent="0.3">
      <c r="A403" s="20">
        <v>400</v>
      </c>
      <c r="B403" s="20">
        <v>400</v>
      </c>
      <c r="C403" s="20">
        <v>200500</v>
      </c>
    </row>
    <row r="404" spans="1:3" x14ac:dyDescent="0.3">
      <c r="A404" s="20">
        <v>401</v>
      </c>
      <c r="B404" s="20">
        <v>401</v>
      </c>
      <c r="C404" s="20">
        <v>201000</v>
      </c>
    </row>
    <row r="405" spans="1:3" x14ac:dyDescent="0.3">
      <c r="A405" s="20">
        <v>402</v>
      </c>
      <c r="B405" s="20">
        <v>402</v>
      </c>
      <c r="C405" s="20">
        <v>201500</v>
      </c>
    </row>
    <row r="406" spans="1:3" x14ac:dyDescent="0.3">
      <c r="A406" s="20">
        <v>403</v>
      </c>
      <c r="B406" s="20">
        <v>403</v>
      </c>
      <c r="C406" s="20">
        <v>202000</v>
      </c>
    </row>
    <row r="407" spans="1:3" x14ac:dyDescent="0.3">
      <c r="A407" s="20">
        <v>404</v>
      </c>
      <c r="B407" s="20">
        <v>404</v>
      </c>
      <c r="C407" s="20">
        <v>202500</v>
      </c>
    </row>
    <row r="408" spans="1:3" x14ac:dyDescent="0.3">
      <c r="A408" s="20">
        <v>405</v>
      </c>
      <c r="B408" s="20">
        <v>405</v>
      </c>
      <c r="C408" s="20">
        <v>203000</v>
      </c>
    </row>
    <row r="409" spans="1:3" x14ac:dyDescent="0.3">
      <c r="A409" s="20">
        <v>406</v>
      </c>
      <c r="B409" s="20">
        <v>406</v>
      </c>
      <c r="C409" s="20">
        <v>203500</v>
      </c>
    </row>
    <row r="410" spans="1:3" x14ac:dyDescent="0.3">
      <c r="A410" s="20">
        <v>407</v>
      </c>
      <c r="B410" s="20">
        <v>407</v>
      </c>
      <c r="C410" s="20">
        <v>204000</v>
      </c>
    </row>
    <row r="411" spans="1:3" x14ac:dyDescent="0.3">
      <c r="A411" s="20">
        <v>408</v>
      </c>
      <c r="B411" s="20">
        <v>408</v>
      </c>
      <c r="C411" s="20">
        <v>204500</v>
      </c>
    </row>
    <row r="412" spans="1:3" x14ac:dyDescent="0.3">
      <c r="A412" s="20">
        <v>409</v>
      </c>
      <c r="B412" s="20">
        <v>409</v>
      </c>
      <c r="C412" s="20">
        <v>205000</v>
      </c>
    </row>
    <row r="413" spans="1:3" x14ac:dyDescent="0.3">
      <c r="A413" s="20">
        <v>410</v>
      </c>
      <c r="B413" s="20">
        <v>410</v>
      </c>
      <c r="C413" s="20">
        <v>205500</v>
      </c>
    </row>
    <row r="414" spans="1:3" x14ac:dyDescent="0.3">
      <c r="A414" s="20">
        <v>411</v>
      </c>
      <c r="B414" s="20">
        <v>411</v>
      </c>
      <c r="C414" s="20">
        <v>206000</v>
      </c>
    </row>
    <row r="415" spans="1:3" x14ac:dyDescent="0.3">
      <c r="A415" s="20">
        <v>412</v>
      </c>
      <c r="B415" s="20">
        <v>412</v>
      </c>
      <c r="C415" s="20">
        <v>206500</v>
      </c>
    </row>
    <row r="416" spans="1:3" x14ac:dyDescent="0.3">
      <c r="A416" s="20">
        <v>413</v>
      </c>
      <c r="B416" s="20">
        <v>413</v>
      </c>
      <c r="C416" s="20">
        <v>207000</v>
      </c>
    </row>
    <row r="417" spans="1:3" x14ac:dyDescent="0.3">
      <c r="A417" s="20">
        <v>414</v>
      </c>
      <c r="B417" s="20">
        <v>414</v>
      </c>
      <c r="C417" s="20">
        <v>207500</v>
      </c>
    </row>
    <row r="418" spans="1:3" x14ac:dyDescent="0.3">
      <c r="A418" s="20">
        <v>415</v>
      </c>
      <c r="B418" s="20">
        <v>415</v>
      </c>
      <c r="C418" s="20">
        <v>208000</v>
      </c>
    </row>
    <row r="419" spans="1:3" x14ac:dyDescent="0.3">
      <c r="A419" s="20">
        <v>416</v>
      </c>
      <c r="B419" s="20">
        <v>416</v>
      </c>
      <c r="C419" s="20">
        <v>208500</v>
      </c>
    </row>
    <row r="420" spans="1:3" x14ac:dyDescent="0.3">
      <c r="A420" s="20">
        <v>417</v>
      </c>
      <c r="B420" s="20">
        <v>417</v>
      </c>
      <c r="C420" s="20">
        <v>209000</v>
      </c>
    </row>
    <row r="421" spans="1:3" x14ac:dyDescent="0.3">
      <c r="A421" s="20">
        <v>418</v>
      </c>
      <c r="B421" s="20">
        <v>418</v>
      </c>
      <c r="C421" s="20">
        <v>209500</v>
      </c>
    </row>
    <row r="422" spans="1:3" x14ac:dyDescent="0.3">
      <c r="A422" s="20">
        <v>419</v>
      </c>
      <c r="B422" s="20">
        <v>419</v>
      </c>
      <c r="C422" s="20">
        <v>210000</v>
      </c>
    </row>
    <row r="423" spans="1:3" x14ac:dyDescent="0.3">
      <c r="A423" s="20">
        <v>420</v>
      </c>
      <c r="B423" s="20">
        <v>420</v>
      </c>
      <c r="C423" s="20">
        <v>210500</v>
      </c>
    </row>
    <row r="424" spans="1:3" x14ac:dyDescent="0.3">
      <c r="A424" s="20">
        <v>421</v>
      </c>
      <c r="B424" s="20">
        <v>421</v>
      </c>
      <c r="C424" s="20">
        <v>211000</v>
      </c>
    </row>
    <row r="425" spans="1:3" x14ac:dyDescent="0.3">
      <c r="A425" s="20">
        <v>422</v>
      </c>
      <c r="B425" s="20">
        <v>422</v>
      </c>
      <c r="C425" s="20">
        <v>211500</v>
      </c>
    </row>
    <row r="426" spans="1:3" x14ac:dyDescent="0.3">
      <c r="A426" s="20">
        <v>423</v>
      </c>
      <c r="B426" s="20">
        <v>423</v>
      </c>
      <c r="C426" s="20">
        <v>212000</v>
      </c>
    </row>
    <row r="427" spans="1:3" x14ac:dyDescent="0.3">
      <c r="A427" s="20">
        <v>424</v>
      </c>
      <c r="B427" s="20">
        <v>424</v>
      </c>
      <c r="C427" s="20">
        <v>212500</v>
      </c>
    </row>
    <row r="428" spans="1:3" x14ac:dyDescent="0.3">
      <c r="A428" s="20">
        <v>425</v>
      </c>
      <c r="B428" s="20">
        <v>425</v>
      </c>
      <c r="C428" s="20">
        <v>213000</v>
      </c>
    </row>
    <row r="429" spans="1:3" x14ac:dyDescent="0.3">
      <c r="A429" s="20">
        <v>426</v>
      </c>
      <c r="B429" s="20">
        <v>426</v>
      </c>
      <c r="C429" s="20">
        <v>213500</v>
      </c>
    </row>
    <row r="430" spans="1:3" x14ac:dyDescent="0.3">
      <c r="A430" s="20">
        <v>427</v>
      </c>
      <c r="B430" s="20">
        <v>427</v>
      </c>
      <c r="C430" s="20">
        <v>214000</v>
      </c>
    </row>
    <row r="431" spans="1:3" x14ac:dyDescent="0.3">
      <c r="A431" s="20">
        <v>428</v>
      </c>
      <c r="B431" s="20">
        <v>428</v>
      </c>
      <c r="C431" s="20">
        <v>214500</v>
      </c>
    </row>
    <row r="432" spans="1:3" x14ac:dyDescent="0.3">
      <c r="A432" s="20">
        <v>429</v>
      </c>
      <c r="B432" s="20">
        <v>429</v>
      </c>
      <c r="C432" s="20">
        <v>215000</v>
      </c>
    </row>
    <row r="433" spans="1:3" x14ac:dyDescent="0.3">
      <c r="A433" s="20">
        <v>430</v>
      </c>
      <c r="B433" s="20">
        <v>430</v>
      </c>
      <c r="C433" s="20">
        <v>215500</v>
      </c>
    </row>
    <row r="434" spans="1:3" x14ac:dyDescent="0.3">
      <c r="A434" s="20">
        <v>431</v>
      </c>
      <c r="B434" s="20">
        <v>431</v>
      </c>
      <c r="C434" s="20">
        <v>216000</v>
      </c>
    </row>
    <row r="435" spans="1:3" x14ac:dyDescent="0.3">
      <c r="A435" s="20">
        <v>432</v>
      </c>
      <c r="B435" s="20">
        <v>432</v>
      </c>
      <c r="C435" s="20">
        <v>216500</v>
      </c>
    </row>
    <row r="436" spans="1:3" x14ac:dyDescent="0.3">
      <c r="A436" s="20">
        <v>433</v>
      </c>
      <c r="B436" s="20">
        <v>433</v>
      </c>
      <c r="C436" s="20">
        <v>217000</v>
      </c>
    </row>
    <row r="437" spans="1:3" x14ac:dyDescent="0.3">
      <c r="A437" s="20">
        <v>434</v>
      </c>
      <c r="B437" s="20">
        <v>434</v>
      </c>
      <c r="C437" s="20">
        <v>217500</v>
      </c>
    </row>
    <row r="438" spans="1:3" x14ac:dyDescent="0.3">
      <c r="A438" s="20">
        <v>435</v>
      </c>
      <c r="B438" s="20">
        <v>435</v>
      </c>
      <c r="C438" s="20">
        <v>218000</v>
      </c>
    </row>
    <row r="439" spans="1:3" x14ac:dyDescent="0.3">
      <c r="A439" s="20">
        <v>436</v>
      </c>
      <c r="B439" s="20">
        <v>436</v>
      </c>
      <c r="C439" s="20">
        <v>218500</v>
      </c>
    </row>
    <row r="440" spans="1:3" x14ac:dyDescent="0.3">
      <c r="A440" s="20">
        <v>437</v>
      </c>
      <c r="B440" s="20">
        <v>437</v>
      </c>
      <c r="C440" s="20">
        <v>219000</v>
      </c>
    </row>
    <row r="441" spans="1:3" x14ac:dyDescent="0.3">
      <c r="A441" s="20">
        <v>438</v>
      </c>
      <c r="B441" s="20">
        <v>438</v>
      </c>
      <c r="C441" s="20">
        <v>219500</v>
      </c>
    </row>
    <row r="442" spans="1:3" x14ac:dyDescent="0.3">
      <c r="A442" s="20">
        <v>439</v>
      </c>
      <c r="B442" s="20">
        <v>439</v>
      </c>
      <c r="C442" s="20">
        <v>220000</v>
      </c>
    </row>
    <row r="443" spans="1:3" x14ac:dyDescent="0.3">
      <c r="A443" s="20">
        <v>440</v>
      </c>
      <c r="B443" s="20">
        <v>440</v>
      </c>
      <c r="C443" s="20">
        <v>220500</v>
      </c>
    </row>
    <row r="444" spans="1:3" x14ac:dyDescent="0.3">
      <c r="A444" s="20">
        <v>441</v>
      </c>
      <c r="B444" s="20">
        <v>441</v>
      </c>
      <c r="C444" s="20">
        <v>221000</v>
      </c>
    </row>
    <row r="445" spans="1:3" x14ac:dyDescent="0.3">
      <c r="A445" s="20">
        <v>442</v>
      </c>
      <c r="B445" s="20">
        <v>442</v>
      </c>
      <c r="C445" s="20">
        <v>221500</v>
      </c>
    </row>
    <row r="446" spans="1:3" x14ac:dyDescent="0.3">
      <c r="A446" s="20">
        <v>443</v>
      </c>
      <c r="B446" s="20">
        <v>443</v>
      </c>
      <c r="C446" s="20">
        <v>222000</v>
      </c>
    </row>
    <row r="447" spans="1:3" x14ac:dyDescent="0.3">
      <c r="A447" s="20">
        <v>444</v>
      </c>
      <c r="B447" s="20">
        <v>444</v>
      </c>
      <c r="C447" s="20">
        <v>222500</v>
      </c>
    </row>
    <row r="448" spans="1:3" x14ac:dyDescent="0.3">
      <c r="A448" s="20">
        <v>445</v>
      </c>
      <c r="B448" s="20">
        <v>445</v>
      </c>
      <c r="C448" s="20">
        <v>223000</v>
      </c>
    </row>
    <row r="449" spans="1:3" x14ac:dyDescent="0.3">
      <c r="A449" s="20">
        <v>446</v>
      </c>
      <c r="B449" s="20">
        <v>446</v>
      </c>
      <c r="C449" s="20">
        <v>223500</v>
      </c>
    </row>
    <row r="450" spans="1:3" x14ac:dyDescent="0.3">
      <c r="A450" s="20">
        <v>447</v>
      </c>
      <c r="B450" s="20">
        <v>447</v>
      </c>
      <c r="C450" s="20">
        <v>224000</v>
      </c>
    </row>
    <row r="451" spans="1:3" x14ac:dyDescent="0.3">
      <c r="A451" s="20">
        <v>448</v>
      </c>
      <c r="B451" s="20">
        <v>448</v>
      </c>
      <c r="C451" s="20">
        <v>224500</v>
      </c>
    </row>
    <row r="452" spans="1:3" x14ac:dyDescent="0.3">
      <c r="A452" s="20">
        <v>449</v>
      </c>
      <c r="B452" s="20">
        <v>449</v>
      </c>
      <c r="C452" s="20">
        <v>225000</v>
      </c>
    </row>
    <row r="453" spans="1:3" x14ac:dyDescent="0.3">
      <c r="A453" s="20">
        <v>450</v>
      </c>
      <c r="B453" s="20">
        <v>450</v>
      </c>
      <c r="C453" s="20">
        <v>225500</v>
      </c>
    </row>
    <row r="454" spans="1:3" x14ac:dyDescent="0.3">
      <c r="A454" s="20">
        <v>451</v>
      </c>
      <c r="B454" s="20">
        <v>451</v>
      </c>
      <c r="C454" s="20">
        <v>226000</v>
      </c>
    </row>
    <row r="455" spans="1:3" x14ac:dyDescent="0.3">
      <c r="A455" s="20">
        <v>452</v>
      </c>
      <c r="B455" s="20">
        <v>452</v>
      </c>
      <c r="C455" s="20">
        <v>226500</v>
      </c>
    </row>
    <row r="456" spans="1:3" x14ac:dyDescent="0.3">
      <c r="A456" s="20">
        <v>453</v>
      </c>
      <c r="B456" s="20">
        <v>453</v>
      </c>
      <c r="C456" s="20">
        <v>227000</v>
      </c>
    </row>
    <row r="457" spans="1:3" x14ac:dyDescent="0.3">
      <c r="A457" s="20">
        <v>454</v>
      </c>
      <c r="B457" s="20">
        <v>454</v>
      </c>
      <c r="C457" s="20">
        <v>227500</v>
      </c>
    </row>
    <row r="458" spans="1:3" x14ac:dyDescent="0.3">
      <c r="A458" s="20">
        <v>455</v>
      </c>
      <c r="B458" s="20">
        <v>455</v>
      </c>
      <c r="C458" s="20">
        <v>228000</v>
      </c>
    </row>
    <row r="459" spans="1:3" x14ac:dyDescent="0.3">
      <c r="A459" s="20">
        <v>456</v>
      </c>
      <c r="B459" s="20">
        <v>456</v>
      </c>
      <c r="C459" s="20">
        <v>228500</v>
      </c>
    </row>
    <row r="460" spans="1:3" x14ac:dyDescent="0.3">
      <c r="A460" s="20">
        <v>457</v>
      </c>
      <c r="B460" s="20">
        <v>457</v>
      </c>
      <c r="C460" s="20">
        <v>229000</v>
      </c>
    </row>
    <row r="461" spans="1:3" x14ac:dyDescent="0.3">
      <c r="A461" s="20">
        <v>458</v>
      </c>
      <c r="B461" s="20">
        <v>458</v>
      </c>
      <c r="C461" s="20">
        <v>229500</v>
      </c>
    </row>
    <row r="462" spans="1:3" x14ac:dyDescent="0.3">
      <c r="A462" s="20">
        <v>459</v>
      </c>
      <c r="B462" s="20">
        <v>459</v>
      </c>
      <c r="C462" s="20">
        <v>230000</v>
      </c>
    </row>
    <row r="463" spans="1:3" x14ac:dyDescent="0.3">
      <c r="A463" s="20">
        <v>460</v>
      </c>
      <c r="B463" s="20">
        <v>460</v>
      </c>
      <c r="C463" s="20">
        <v>230500</v>
      </c>
    </row>
    <row r="464" spans="1:3" x14ac:dyDescent="0.3">
      <c r="A464" s="20">
        <v>461</v>
      </c>
      <c r="B464" s="20">
        <v>461</v>
      </c>
      <c r="C464" s="20">
        <v>231000</v>
      </c>
    </row>
    <row r="465" spans="1:3" x14ac:dyDescent="0.3">
      <c r="A465" s="20">
        <v>462</v>
      </c>
      <c r="B465" s="20">
        <v>462</v>
      </c>
      <c r="C465" s="20">
        <v>231500</v>
      </c>
    </row>
    <row r="466" spans="1:3" x14ac:dyDescent="0.3">
      <c r="A466" s="20">
        <v>463</v>
      </c>
      <c r="B466" s="20">
        <v>463</v>
      </c>
      <c r="C466" s="20">
        <v>232000</v>
      </c>
    </row>
    <row r="467" spans="1:3" x14ac:dyDescent="0.3">
      <c r="A467" s="20">
        <v>464</v>
      </c>
      <c r="B467" s="20">
        <v>464</v>
      </c>
      <c r="C467" s="20">
        <v>232500</v>
      </c>
    </row>
    <row r="468" spans="1:3" x14ac:dyDescent="0.3">
      <c r="A468" s="20">
        <v>465</v>
      </c>
      <c r="B468" s="20">
        <v>465</v>
      </c>
      <c r="C468" s="20">
        <v>233000</v>
      </c>
    </row>
    <row r="469" spans="1:3" x14ac:dyDescent="0.3">
      <c r="A469" s="20">
        <v>466</v>
      </c>
      <c r="B469" s="20">
        <v>466</v>
      </c>
      <c r="C469" s="20">
        <v>233500</v>
      </c>
    </row>
    <row r="470" spans="1:3" x14ac:dyDescent="0.3">
      <c r="A470" s="20">
        <v>467</v>
      </c>
      <c r="B470" s="20">
        <v>467</v>
      </c>
      <c r="C470" s="20">
        <v>234000</v>
      </c>
    </row>
    <row r="471" spans="1:3" x14ac:dyDescent="0.3">
      <c r="A471" s="20">
        <v>468</v>
      </c>
      <c r="B471" s="20">
        <v>468</v>
      </c>
      <c r="C471" s="20">
        <v>234500</v>
      </c>
    </row>
    <row r="472" spans="1:3" x14ac:dyDescent="0.3">
      <c r="A472" s="20">
        <v>469</v>
      </c>
      <c r="B472" s="20">
        <v>469</v>
      </c>
      <c r="C472" s="20">
        <v>235000</v>
      </c>
    </row>
    <row r="473" spans="1:3" x14ac:dyDescent="0.3">
      <c r="A473" s="20">
        <v>470</v>
      </c>
      <c r="B473" s="20">
        <v>470</v>
      </c>
      <c r="C473" s="20">
        <v>235500</v>
      </c>
    </row>
    <row r="474" spans="1:3" x14ac:dyDescent="0.3">
      <c r="A474" s="20">
        <v>471</v>
      </c>
      <c r="B474" s="20">
        <v>471</v>
      </c>
      <c r="C474" s="20">
        <v>236000</v>
      </c>
    </row>
    <row r="475" spans="1:3" x14ac:dyDescent="0.3">
      <c r="A475" s="20">
        <v>472</v>
      </c>
      <c r="B475" s="20">
        <v>472</v>
      </c>
      <c r="C475" s="20">
        <v>236500</v>
      </c>
    </row>
    <row r="476" spans="1:3" x14ac:dyDescent="0.3">
      <c r="A476" s="20">
        <v>473</v>
      </c>
      <c r="B476" s="20">
        <v>473</v>
      </c>
      <c r="C476" s="20">
        <v>237000</v>
      </c>
    </row>
    <row r="477" spans="1:3" x14ac:dyDescent="0.3">
      <c r="A477" s="20">
        <v>474</v>
      </c>
      <c r="B477" s="20">
        <v>474</v>
      </c>
      <c r="C477" s="20">
        <v>237500</v>
      </c>
    </row>
    <row r="478" spans="1:3" x14ac:dyDescent="0.3">
      <c r="A478" s="20">
        <v>475</v>
      </c>
      <c r="B478" s="20">
        <v>475</v>
      </c>
      <c r="C478" s="20">
        <v>238000</v>
      </c>
    </row>
    <row r="479" spans="1:3" x14ac:dyDescent="0.3">
      <c r="A479" s="20">
        <v>476</v>
      </c>
      <c r="B479" s="20">
        <v>476</v>
      </c>
      <c r="C479" s="20">
        <v>238500</v>
      </c>
    </row>
    <row r="480" spans="1:3" x14ac:dyDescent="0.3">
      <c r="A480" s="20">
        <v>477</v>
      </c>
      <c r="B480" s="20">
        <v>477</v>
      </c>
      <c r="C480" s="20">
        <v>239000</v>
      </c>
    </row>
    <row r="481" spans="1:3" x14ac:dyDescent="0.3">
      <c r="A481" s="20">
        <v>478</v>
      </c>
      <c r="B481" s="20">
        <v>478</v>
      </c>
      <c r="C481" s="20">
        <v>239500</v>
      </c>
    </row>
    <row r="482" spans="1:3" x14ac:dyDescent="0.3">
      <c r="A482" s="20">
        <v>479</v>
      </c>
      <c r="B482" s="20">
        <v>479</v>
      </c>
      <c r="C482" s="20">
        <v>240000</v>
      </c>
    </row>
    <row r="483" spans="1:3" x14ac:dyDescent="0.3">
      <c r="A483" s="20">
        <v>480</v>
      </c>
      <c r="B483" s="20">
        <v>480</v>
      </c>
      <c r="C483" s="20">
        <v>240500</v>
      </c>
    </row>
    <row r="484" spans="1:3" x14ac:dyDescent="0.3">
      <c r="A484" s="20">
        <v>481</v>
      </c>
      <c r="B484" s="20">
        <v>481</v>
      </c>
      <c r="C484" s="20">
        <v>241000</v>
      </c>
    </row>
    <row r="485" spans="1:3" x14ac:dyDescent="0.3">
      <c r="A485" s="20">
        <v>482</v>
      </c>
      <c r="B485" s="20">
        <v>482</v>
      </c>
      <c r="C485" s="20">
        <v>241500</v>
      </c>
    </row>
    <row r="486" spans="1:3" x14ac:dyDescent="0.3">
      <c r="A486" s="20">
        <v>483</v>
      </c>
      <c r="B486" s="20">
        <v>483</v>
      </c>
      <c r="C486" s="20">
        <v>242000</v>
      </c>
    </row>
    <row r="487" spans="1:3" x14ac:dyDescent="0.3">
      <c r="A487" s="20">
        <v>484</v>
      </c>
      <c r="B487" s="20">
        <v>484</v>
      </c>
      <c r="C487" s="20">
        <v>242500</v>
      </c>
    </row>
    <row r="488" spans="1:3" x14ac:dyDescent="0.3">
      <c r="A488" s="20">
        <v>485</v>
      </c>
      <c r="B488" s="20">
        <v>485</v>
      </c>
      <c r="C488" s="20">
        <v>243000</v>
      </c>
    </row>
    <row r="489" spans="1:3" x14ac:dyDescent="0.3">
      <c r="A489" s="20">
        <v>486</v>
      </c>
      <c r="B489" s="20">
        <v>486</v>
      </c>
      <c r="C489" s="20">
        <v>243500</v>
      </c>
    </row>
    <row r="490" spans="1:3" x14ac:dyDescent="0.3">
      <c r="A490" s="20">
        <v>487</v>
      </c>
      <c r="B490" s="20">
        <v>487</v>
      </c>
      <c r="C490" s="20">
        <v>244000</v>
      </c>
    </row>
    <row r="491" spans="1:3" x14ac:dyDescent="0.3">
      <c r="A491" s="20">
        <v>488</v>
      </c>
      <c r="B491" s="20">
        <v>488</v>
      </c>
      <c r="C491" s="20">
        <v>244500</v>
      </c>
    </row>
    <row r="492" spans="1:3" x14ac:dyDescent="0.3">
      <c r="A492" s="20">
        <v>489</v>
      </c>
      <c r="B492" s="20">
        <v>489</v>
      </c>
      <c r="C492" s="20">
        <v>245000</v>
      </c>
    </row>
    <row r="493" spans="1:3" x14ac:dyDescent="0.3">
      <c r="A493" s="20">
        <v>490</v>
      </c>
      <c r="B493" s="20">
        <v>490</v>
      </c>
      <c r="C493" s="20">
        <v>245500</v>
      </c>
    </row>
    <row r="494" spans="1:3" x14ac:dyDescent="0.3">
      <c r="A494" s="20">
        <v>491</v>
      </c>
      <c r="B494" s="20">
        <v>491</v>
      </c>
      <c r="C494" s="20">
        <v>246000</v>
      </c>
    </row>
    <row r="495" spans="1:3" x14ac:dyDescent="0.3">
      <c r="A495" s="20">
        <v>492</v>
      </c>
      <c r="B495" s="20">
        <v>492</v>
      </c>
      <c r="C495" s="20">
        <v>246500</v>
      </c>
    </row>
    <row r="496" spans="1:3" x14ac:dyDescent="0.3">
      <c r="A496" s="20">
        <v>493</v>
      </c>
      <c r="B496" s="20">
        <v>493</v>
      </c>
      <c r="C496" s="20">
        <v>247000</v>
      </c>
    </row>
    <row r="497" spans="1:3" x14ac:dyDescent="0.3">
      <c r="A497" s="20">
        <v>494</v>
      </c>
      <c r="B497" s="20">
        <v>494</v>
      </c>
      <c r="C497" s="20">
        <v>247500</v>
      </c>
    </row>
    <row r="498" spans="1:3" x14ac:dyDescent="0.3">
      <c r="A498" s="20">
        <v>495</v>
      </c>
      <c r="B498" s="20">
        <v>495</v>
      </c>
      <c r="C498" s="20">
        <v>248000</v>
      </c>
    </row>
    <row r="499" spans="1:3" x14ac:dyDescent="0.3">
      <c r="A499" s="20">
        <v>496</v>
      </c>
      <c r="B499" s="20">
        <v>496</v>
      </c>
      <c r="C499" s="20">
        <v>248500</v>
      </c>
    </row>
    <row r="500" spans="1:3" x14ac:dyDescent="0.3">
      <c r="A500" s="20">
        <v>497</v>
      </c>
      <c r="B500" s="20">
        <v>497</v>
      </c>
      <c r="C500" s="20">
        <v>249000</v>
      </c>
    </row>
    <row r="501" spans="1:3" x14ac:dyDescent="0.3">
      <c r="A501" s="20">
        <v>498</v>
      </c>
      <c r="B501" s="20">
        <v>498</v>
      </c>
      <c r="C501" s="20">
        <v>249500</v>
      </c>
    </row>
    <row r="502" spans="1:3" x14ac:dyDescent="0.3">
      <c r="A502" s="20">
        <v>499</v>
      </c>
      <c r="B502" s="20">
        <v>499</v>
      </c>
      <c r="C502" s="20">
        <v>250000</v>
      </c>
    </row>
    <row r="503" spans="1:3" x14ac:dyDescent="0.3">
      <c r="A503" s="20">
        <v>500</v>
      </c>
      <c r="B503" s="20">
        <v>500</v>
      </c>
      <c r="C503" s="20">
        <v>250500</v>
      </c>
    </row>
    <row r="504" spans="1:3" x14ac:dyDescent="0.3">
      <c r="A504" s="20">
        <v>501</v>
      </c>
      <c r="B504" s="20">
        <v>501</v>
      </c>
      <c r="C504" s="20">
        <v>251000</v>
      </c>
    </row>
    <row r="505" spans="1:3" x14ac:dyDescent="0.3">
      <c r="A505" s="20">
        <v>502</v>
      </c>
      <c r="B505" s="20">
        <v>502</v>
      </c>
      <c r="C505" s="20">
        <v>251500</v>
      </c>
    </row>
    <row r="506" spans="1:3" x14ac:dyDescent="0.3">
      <c r="A506" s="20">
        <v>503</v>
      </c>
      <c r="B506" s="20">
        <v>503</v>
      </c>
      <c r="C506" s="20">
        <v>252000</v>
      </c>
    </row>
    <row r="507" spans="1:3" x14ac:dyDescent="0.3">
      <c r="A507" s="20">
        <v>504</v>
      </c>
      <c r="B507" s="20">
        <v>504</v>
      </c>
      <c r="C507" s="20">
        <v>252500</v>
      </c>
    </row>
    <row r="508" spans="1:3" x14ac:dyDescent="0.3">
      <c r="A508" s="20">
        <v>505</v>
      </c>
      <c r="B508" s="20">
        <v>505</v>
      </c>
      <c r="C508" s="20">
        <v>253000</v>
      </c>
    </row>
    <row r="509" spans="1:3" x14ac:dyDescent="0.3">
      <c r="A509" s="20">
        <v>506</v>
      </c>
      <c r="B509" s="20">
        <v>506</v>
      </c>
      <c r="C509" s="20">
        <v>253500</v>
      </c>
    </row>
    <row r="510" spans="1:3" x14ac:dyDescent="0.3">
      <c r="A510" s="20">
        <v>507</v>
      </c>
      <c r="B510" s="20">
        <v>507</v>
      </c>
      <c r="C510" s="20">
        <v>254000</v>
      </c>
    </row>
    <row r="511" spans="1:3" x14ac:dyDescent="0.3">
      <c r="A511" s="20">
        <v>508</v>
      </c>
      <c r="B511" s="20">
        <v>508</v>
      </c>
      <c r="C511" s="20">
        <v>254500</v>
      </c>
    </row>
    <row r="512" spans="1:3" x14ac:dyDescent="0.3">
      <c r="A512" s="20">
        <v>509</v>
      </c>
      <c r="B512" s="20">
        <v>509</v>
      </c>
      <c r="C512" s="20">
        <v>255000</v>
      </c>
    </row>
    <row r="513" spans="1:3" x14ac:dyDescent="0.3">
      <c r="A513" s="20">
        <v>510</v>
      </c>
      <c r="B513" s="20">
        <v>510</v>
      </c>
      <c r="C513" s="20">
        <v>255500</v>
      </c>
    </row>
    <row r="514" spans="1:3" x14ac:dyDescent="0.3">
      <c r="A514" s="20">
        <v>511</v>
      </c>
      <c r="B514" s="20">
        <v>511</v>
      </c>
      <c r="C514" s="20">
        <v>256000</v>
      </c>
    </row>
    <row r="515" spans="1:3" x14ac:dyDescent="0.3">
      <c r="A515" s="20">
        <v>512</v>
      </c>
      <c r="B515" s="20">
        <v>512</v>
      </c>
      <c r="C515" s="20">
        <v>256500</v>
      </c>
    </row>
    <row r="516" spans="1:3" x14ac:dyDescent="0.3">
      <c r="A516" s="20">
        <v>513</v>
      </c>
      <c r="B516" s="20">
        <v>513</v>
      </c>
      <c r="C516" s="20">
        <v>257000</v>
      </c>
    </row>
    <row r="517" spans="1:3" x14ac:dyDescent="0.3">
      <c r="A517" s="20">
        <v>514</v>
      </c>
      <c r="B517" s="20">
        <v>514</v>
      </c>
      <c r="C517" s="20">
        <v>257500</v>
      </c>
    </row>
    <row r="518" spans="1:3" x14ac:dyDescent="0.3">
      <c r="A518" s="20">
        <v>515</v>
      </c>
      <c r="B518" s="20">
        <v>515</v>
      </c>
      <c r="C518" s="20">
        <v>258000</v>
      </c>
    </row>
    <row r="519" spans="1:3" x14ac:dyDescent="0.3">
      <c r="A519" s="20">
        <v>516</v>
      </c>
      <c r="B519" s="20">
        <v>516</v>
      </c>
      <c r="C519" s="20">
        <v>258500</v>
      </c>
    </row>
    <row r="520" spans="1:3" x14ac:dyDescent="0.3">
      <c r="A520" s="20">
        <v>517</v>
      </c>
      <c r="B520" s="20">
        <v>517</v>
      </c>
      <c r="C520" s="20">
        <v>259000</v>
      </c>
    </row>
    <row r="521" spans="1:3" x14ac:dyDescent="0.3">
      <c r="A521" s="20">
        <v>518</v>
      </c>
      <c r="B521" s="20">
        <v>518</v>
      </c>
      <c r="C521" s="20">
        <v>259500</v>
      </c>
    </row>
    <row r="522" spans="1:3" x14ac:dyDescent="0.3">
      <c r="A522" s="20">
        <v>519</v>
      </c>
      <c r="B522" s="20">
        <v>519</v>
      </c>
      <c r="C522" s="20">
        <v>260000</v>
      </c>
    </row>
    <row r="523" spans="1:3" x14ac:dyDescent="0.3">
      <c r="A523" s="20">
        <v>520</v>
      </c>
      <c r="B523" s="20">
        <v>520</v>
      </c>
      <c r="C523" s="20">
        <v>260500</v>
      </c>
    </row>
    <row r="524" spans="1:3" x14ac:dyDescent="0.3">
      <c r="A524" s="20">
        <v>521</v>
      </c>
      <c r="B524" s="20">
        <v>521</v>
      </c>
      <c r="C524" s="20">
        <v>261000</v>
      </c>
    </row>
    <row r="525" spans="1:3" x14ac:dyDescent="0.3">
      <c r="A525" s="20">
        <v>522</v>
      </c>
      <c r="B525" s="20">
        <v>522</v>
      </c>
      <c r="C525" s="20">
        <v>261500</v>
      </c>
    </row>
    <row r="526" spans="1:3" x14ac:dyDescent="0.3">
      <c r="A526" s="20">
        <v>523</v>
      </c>
      <c r="B526" s="20">
        <v>523</v>
      </c>
      <c r="C526" s="20">
        <v>262000</v>
      </c>
    </row>
    <row r="527" spans="1:3" x14ac:dyDescent="0.3">
      <c r="A527" s="20">
        <v>524</v>
      </c>
      <c r="B527" s="20">
        <v>524</v>
      </c>
      <c r="C527" s="20">
        <v>262500</v>
      </c>
    </row>
    <row r="528" spans="1:3" x14ac:dyDescent="0.3">
      <c r="A528" s="20">
        <v>525</v>
      </c>
      <c r="B528" s="20">
        <v>525</v>
      </c>
      <c r="C528" s="20">
        <v>263000</v>
      </c>
    </row>
    <row r="529" spans="1:3" x14ac:dyDescent="0.3">
      <c r="A529" s="20">
        <v>526</v>
      </c>
      <c r="B529" s="20">
        <v>526</v>
      </c>
      <c r="C529" s="20">
        <v>263500</v>
      </c>
    </row>
    <row r="530" spans="1:3" x14ac:dyDescent="0.3">
      <c r="A530" s="20">
        <v>527</v>
      </c>
      <c r="B530" s="20">
        <v>527</v>
      </c>
      <c r="C530" s="20">
        <v>264000</v>
      </c>
    </row>
    <row r="531" spans="1:3" x14ac:dyDescent="0.3">
      <c r="A531" s="20">
        <v>528</v>
      </c>
      <c r="B531" s="20">
        <v>528</v>
      </c>
      <c r="C531" s="20">
        <v>264500</v>
      </c>
    </row>
    <row r="532" spans="1:3" x14ac:dyDescent="0.3">
      <c r="A532" s="20">
        <v>529</v>
      </c>
      <c r="B532" s="20">
        <v>529</v>
      </c>
      <c r="C532" s="20">
        <v>265000</v>
      </c>
    </row>
    <row r="533" spans="1:3" x14ac:dyDescent="0.3">
      <c r="A533" s="20">
        <v>530</v>
      </c>
      <c r="B533" s="20">
        <v>530</v>
      </c>
      <c r="C533" s="20">
        <v>265500</v>
      </c>
    </row>
    <row r="534" spans="1:3" x14ac:dyDescent="0.3">
      <c r="A534" s="20">
        <v>531</v>
      </c>
      <c r="B534" s="20">
        <v>531</v>
      </c>
      <c r="C534" s="20">
        <v>266000</v>
      </c>
    </row>
    <row r="535" spans="1:3" x14ac:dyDescent="0.3">
      <c r="A535" s="20">
        <v>532</v>
      </c>
      <c r="B535" s="20">
        <v>532</v>
      </c>
      <c r="C535" s="20">
        <v>266500</v>
      </c>
    </row>
    <row r="536" spans="1:3" x14ac:dyDescent="0.3">
      <c r="A536" s="20">
        <v>533</v>
      </c>
      <c r="B536" s="20">
        <v>533</v>
      </c>
      <c r="C536" s="20">
        <v>267000</v>
      </c>
    </row>
    <row r="537" spans="1:3" x14ac:dyDescent="0.3">
      <c r="A537" s="20">
        <v>534</v>
      </c>
      <c r="B537" s="20">
        <v>534</v>
      </c>
      <c r="C537" s="20">
        <v>267500</v>
      </c>
    </row>
    <row r="538" spans="1:3" x14ac:dyDescent="0.3">
      <c r="A538" s="20">
        <v>535</v>
      </c>
      <c r="B538" s="20">
        <v>535</v>
      </c>
      <c r="C538" s="20">
        <v>268000</v>
      </c>
    </row>
    <row r="539" spans="1:3" x14ac:dyDescent="0.3">
      <c r="A539" s="20">
        <v>536</v>
      </c>
      <c r="B539" s="20">
        <v>536</v>
      </c>
      <c r="C539" s="20">
        <v>268500</v>
      </c>
    </row>
    <row r="540" spans="1:3" x14ac:dyDescent="0.3">
      <c r="A540" s="20">
        <v>537</v>
      </c>
      <c r="B540" s="20">
        <v>537</v>
      </c>
      <c r="C540" s="20">
        <v>269000</v>
      </c>
    </row>
    <row r="541" spans="1:3" x14ac:dyDescent="0.3">
      <c r="A541" s="20">
        <v>538</v>
      </c>
      <c r="B541" s="20">
        <v>538</v>
      </c>
      <c r="C541" s="20">
        <v>269500</v>
      </c>
    </row>
    <row r="542" spans="1:3" x14ac:dyDescent="0.3">
      <c r="A542" s="20">
        <v>539</v>
      </c>
      <c r="B542" s="20">
        <v>539</v>
      </c>
      <c r="C542" s="20">
        <v>270000</v>
      </c>
    </row>
    <row r="543" spans="1:3" x14ac:dyDescent="0.3">
      <c r="A543" s="20">
        <v>540</v>
      </c>
      <c r="B543" s="20">
        <v>540</v>
      </c>
      <c r="C543" s="20">
        <v>270500</v>
      </c>
    </row>
    <row r="544" spans="1:3" x14ac:dyDescent="0.3">
      <c r="A544" s="20">
        <v>541</v>
      </c>
      <c r="B544" s="20">
        <v>541</v>
      </c>
      <c r="C544" s="20">
        <v>271000</v>
      </c>
    </row>
    <row r="545" spans="1:3" x14ac:dyDescent="0.3">
      <c r="A545" s="20">
        <v>542</v>
      </c>
      <c r="B545" s="20">
        <v>542</v>
      </c>
      <c r="C545" s="20">
        <v>271500</v>
      </c>
    </row>
    <row r="546" spans="1:3" x14ac:dyDescent="0.3">
      <c r="A546" s="20">
        <v>543</v>
      </c>
      <c r="B546" s="20">
        <v>543</v>
      </c>
      <c r="C546" s="20">
        <v>272000</v>
      </c>
    </row>
    <row r="547" spans="1:3" x14ac:dyDescent="0.3">
      <c r="A547" s="20">
        <v>544</v>
      </c>
      <c r="B547" s="20">
        <v>544</v>
      </c>
      <c r="C547" s="20">
        <v>272500</v>
      </c>
    </row>
    <row r="548" spans="1:3" x14ac:dyDescent="0.3">
      <c r="A548" s="20">
        <v>545</v>
      </c>
      <c r="B548" s="20">
        <v>545</v>
      </c>
      <c r="C548" s="20">
        <v>273000</v>
      </c>
    </row>
    <row r="549" spans="1:3" x14ac:dyDescent="0.3">
      <c r="A549" s="20">
        <v>546</v>
      </c>
      <c r="B549" s="20">
        <v>546</v>
      </c>
      <c r="C549" s="20">
        <v>273500</v>
      </c>
    </row>
    <row r="550" spans="1:3" x14ac:dyDescent="0.3">
      <c r="A550" s="20">
        <v>547</v>
      </c>
      <c r="B550" s="20">
        <v>547</v>
      </c>
      <c r="C550" s="20">
        <v>274000</v>
      </c>
    </row>
    <row r="551" spans="1:3" x14ac:dyDescent="0.3">
      <c r="A551" s="20">
        <v>548</v>
      </c>
      <c r="B551" s="20">
        <v>548</v>
      </c>
      <c r="C551" s="20">
        <v>274500</v>
      </c>
    </row>
    <row r="552" spans="1:3" x14ac:dyDescent="0.3">
      <c r="A552" s="20">
        <v>549</v>
      </c>
      <c r="B552" s="20">
        <v>549</v>
      </c>
      <c r="C552" s="20">
        <v>275000</v>
      </c>
    </row>
    <row r="553" spans="1:3" x14ac:dyDescent="0.3">
      <c r="A553" s="20">
        <v>550</v>
      </c>
      <c r="B553" s="20">
        <v>550</v>
      </c>
      <c r="C553" s="20">
        <v>275500</v>
      </c>
    </row>
    <row r="554" spans="1:3" x14ac:dyDescent="0.3">
      <c r="A554" s="20">
        <v>551</v>
      </c>
      <c r="B554" s="20">
        <v>551</v>
      </c>
      <c r="C554" s="20">
        <v>276000</v>
      </c>
    </row>
    <row r="555" spans="1:3" x14ac:dyDescent="0.3">
      <c r="A555" s="20">
        <v>552</v>
      </c>
      <c r="B555" s="20">
        <v>552</v>
      </c>
      <c r="C555" s="20">
        <v>276500</v>
      </c>
    </row>
    <row r="556" spans="1:3" x14ac:dyDescent="0.3">
      <c r="A556" s="20">
        <v>553</v>
      </c>
      <c r="B556" s="20">
        <v>553</v>
      </c>
      <c r="C556" s="20">
        <v>277000</v>
      </c>
    </row>
    <row r="557" spans="1:3" x14ac:dyDescent="0.3">
      <c r="A557" s="20">
        <v>554</v>
      </c>
      <c r="B557" s="20">
        <v>554</v>
      </c>
      <c r="C557" s="20">
        <v>277500</v>
      </c>
    </row>
    <row r="558" spans="1:3" x14ac:dyDescent="0.3">
      <c r="A558" s="20">
        <v>555</v>
      </c>
      <c r="B558" s="20">
        <v>555</v>
      </c>
      <c r="C558" s="20">
        <v>278000</v>
      </c>
    </row>
    <row r="559" spans="1:3" x14ac:dyDescent="0.3">
      <c r="A559" s="20">
        <v>556</v>
      </c>
      <c r="B559" s="20">
        <v>556</v>
      </c>
      <c r="C559" s="20">
        <v>278500</v>
      </c>
    </row>
    <row r="560" spans="1:3" x14ac:dyDescent="0.3">
      <c r="A560" s="20">
        <v>557</v>
      </c>
      <c r="B560" s="20">
        <v>557</v>
      </c>
      <c r="C560" s="20">
        <v>279000</v>
      </c>
    </row>
    <row r="561" spans="1:3" x14ac:dyDescent="0.3">
      <c r="A561" s="20">
        <v>558</v>
      </c>
      <c r="B561" s="20">
        <v>558</v>
      </c>
      <c r="C561" s="20">
        <v>279500</v>
      </c>
    </row>
    <row r="562" spans="1:3" x14ac:dyDescent="0.3">
      <c r="A562" s="20">
        <v>559</v>
      </c>
      <c r="B562" s="20">
        <v>559</v>
      </c>
      <c r="C562" s="20">
        <v>280000</v>
      </c>
    </row>
    <row r="563" spans="1:3" x14ac:dyDescent="0.3">
      <c r="A563" s="20">
        <v>560</v>
      </c>
      <c r="B563" s="20">
        <v>560</v>
      </c>
      <c r="C563" s="20">
        <v>280500</v>
      </c>
    </row>
    <row r="564" spans="1:3" x14ac:dyDescent="0.3">
      <c r="A564" s="20">
        <v>561</v>
      </c>
      <c r="B564" s="20">
        <v>561</v>
      </c>
      <c r="C564" s="20">
        <v>281000</v>
      </c>
    </row>
    <row r="565" spans="1:3" x14ac:dyDescent="0.3">
      <c r="A565" s="20">
        <v>562</v>
      </c>
      <c r="B565" s="20">
        <v>562</v>
      </c>
      <c r="C565" s="20">
        <v>281500</v>
      </c>
    </row>
    <row r="566" spans="1:3" x14ac:dyDescent="0.3">
      <c r="A566" s="20">
        <v>563</v>
      </c>
      <c r="B566" s="20">
        <v>563</v>
      </c>
      <c r="C566" s="20">
        <v>282000</v>
      </c>
    </row>
    <row r="567" spans="1:3" x14ac:dyDescent="0.3">
      <c r="A567" s="20">
        <v>564</v>
      </c>
      <c r="B567" s="20">
        <v>564</v>
      </c>
      <c r="C567" s="20">
        <v>282500</v>
      </c>
    </row>
    <row r="568" spans="1:3" x14ac:dyDescent="0.3">
      <c r="A568" s="20">
        <v>565</v>
      </c>
      <c r="B568" s="20">
        <v>565</v>
      </c>
      <c r="C568" s="20">
        <v>283000</v>
      </c>
    </row>
    <row r="569" spans="1:3" x14ac:dyDescent="0.3">
      <c r="A569" s="20">
        <v>566</v>
      </c>
      <c r="B569" s="20">
        <v>566</v>
      </c>
      <c r="C569" s="20">
        <v>283500</v>
      </c>
    </row>
    <row r="570" spans="1:3" x14ac:dyDescent="0.3">
      <c r="A570" s="20">
        <v>567</v>
      </c>
      <c r="B570" s="20">
        <v>567</v>
      </c>
      <c r="C570" s="20">
        <v>284000</v>
      </c>
    </row>
    <row r="571" spans="1:3" x14ac:dyDescent="0.3">
      <c r="A571" s="20">
        <v>568</v>
      </c>
      <c r="B571" s="20">
        <v>568</v>
      </c>
      <c r="C571" s="20">
        <v>284500</v>
      </c>
    </row>
    <row r="572" spans="1:3" x14ac:dyDescent="0.3">
      <c r="A572" s="20">
        <v>569</v>
      </c>
      <c r="B572" s="20">
        <v>569</v>
      </c>
      <c r="C572" s="20">
        <v>285000</v>
      </c>
    </row>
    <row r="573" spans="1:3" x14ac:dyDescent="0.3">
      <c r="A573" s="20">
        <v>570</v>
      </c>
      <c r="B573" s="20">
        <v>570</v>
      </c>
      <c r="C573" s="20">
        <v>285500</v>
      </c>
    </row>
    <row r="574" spans="1:3" x14ac:dyDescent="0.3">
      <c r="A574" s="20">
        <v>571</v>
      </c>
      <c r="B574" s="20">
        <v>571</v>
      </c>
      <c r="C574" s="20">
        <v>286000</v>
      </c>
    </row>
    <row r="575" spans="1:3" x14ac:dyDescent="0.3">
      <c r="A575" s="20">
        <v>572</v>
      </c>
      <c r="B575" s="20">
        <v>572</v>
      </c>
      <c r="C575" s="20">
        <v>286500</v>
      </c>
    </row>
    <row r="576" spans="1:3" x14ac:dyDescent="0.3">
      <c r="A576" s="20">
        <v>573</v>
      </c>
      <c r="B576" s="20">
        <v>573</v>
      </c>
      <c r="C576" s="20">
        <v>287000</v>
      </c>
    </row>
    <row r="577" spans="1:3" x14ac:dyDescent="0.3">
      <c r="A577" s="20">
        <v>574</v>
      </c>
      <c r="B577" s="20">
        <v>574</v>
      </c>
      <c r="C577" s="20">
        <v>287500</v>
      </c>
    </row>
    <row r="578" spans="1:3" x14ac:dyDescent="0.3">
      <c r="A578" s="20">
        <v>575</v>
      </c>
      <c r="B578" s="20">
        <v>575</v>
      </c>
      <c r="C578" s="20">
        <v>288000</v>
      </c>
    </row>
    <row r="579" spans="1:3" x14ac:dyDescent="0.3">
      <c r="A579" s="20">
        <v>576</v>
      </c>
      <c r="B579" s="20">
        <v>576</v>
      </c>
      <c r="C579" s="20">
        <v>288500</v>
      </c>
    </row>
    <row r="580" spans="1:3" x14ac:dyDescent="0.3">
      <c r="A580" s="20">
        <v>577</v>
      </c>
      <c r="B580" s="20">
        <v>577</v>
      </c>
      <c r="C580" s="20">
        <v>289000</v>
      </c>
    </row>
    <row r="581" spans="1:3" x14ac:dyDescent="0.3">
      <c r="A581" s="20">
        <v>578</v>
      </c>
      <c r="B581" s="20">
        <v>578</v>
      </c>
      <c r="C581" s="20">
        <v>289500</v>
      </c>
    </row>
    <row r="582" spans="1:3" x14ac:dyDescent="0.3">
      <c r="A582" s="20">
        <v>579</v>
      </c>
      <c r="B582" s="20">
        <v>579</v>
      </c>
      <c r="C582" s="20">
        <v>290000</v>
      </c>
    </row>
    <row r="583" spans="1:3" x14ac:dyDescent="0.3">
      <c r="A583" s="20">
        <v>580</v>
      </c>
      <c r="B583" s="20">
        <v>580</v>
      </c>
      <c r="C583" s="20">
        <v>290500</v>
      </c>
    </row>
    <row r="584" spans="1:3" x14ac:dyDescent="0.3">
      <c r="A584" s="20">
        <v>581</v>
      </c>
      <c r="B584" s="20">
        <v>581</v>
      </c>
      <c r="C584" s="20">
        <v>291000</v>
      </c>
    </row>
    <row r="585" spans="1:3" x14ac:dyDescent="0.3">
      <c r="A585" s="20">
        <v>582</v>
      </c>
      <c r="B585" s="20">
        <v>582</v>
      </c>
      <c r="C585" s="20">
        <v>291500</v>
      </c>
    </row>
    <row r="586" spans="1:3" x14ac:dyDescent="0.3">
      <c r="A586" s="20">
        <v>583</v>
      </c>
      <c r="B586" s="20">
        <v>583</v>
      </c>
      <c r="C586" s="20">
        <v>292000</v>
      </c>
    </row>
    <row r="587" spans="1:3" x14ac:dyDescent="0.3">
      <c r="A587" s="20">
        <v>584</v>
      </c>
      <c r="B587" s="20">
        <v>584</v>
      </c>
      <c r="C587" s="20">
        <v>292500</v>
      </c>
    </row>
    <row r="588" spans="1:3" x14ac:dyDescent="0.3">
      <c r="A588" s="20">
        <v>585</v>
      </c>
      <c r="B588" s="20">
        <v>585</v>
      </c>
      <c r="C588" s="20">
        <v>293000</v>
      </c>
    </row>
    <row r="589" spans="1:3" x14ac:dyDescent="0.3">
      <c r="A589" s="20">
        <v>586</v>
      </c>
      <c r="B589" s="20">
        <v>586</v>
      </c>
      <c r="C589" s="20">
        <v>293500</v>
      </c>
    </row>
    <row r="590" spans="1:3" x14ac:dyDescent="0.3">
      <c r="A590" s="20">
        <v>587</v>
      </c>
      <c r="B590" s="20">
        <v>587</v>
      </c>
      <c r="C590" s="20">
        <v>294000</v>
      </c>
    </row>
    <row r="591" spans="1:3" x14ac:dyDescent="0.3">
      <c r="A591" s="20">
        <v>588</v>
      </c>
      <c r="B591" s="20">
        <v>588</v>
      </c>
      <c r="C591" s="20">
        <v>294500</v>
      </c>
    </row>
    <row r="592" spans="1:3" x14ac:dyDescent="0.3">
      <c r="A592" s="20">
        <v>589</v>
      </c>
      <c r="B592" s="20">
        <v>589</v>
      </c>
      <c r="C592" s="20">
        <v>295000</v>
      </c>
    </row>
    <row r="593" spans="1:3" x14ac:dyDescent="0.3">
      <c r="A593" s="20">
        <v>590</v>
      </c>
      <c r="B593" s="20">
        <v>590</v>
      </c>
      <c r="C593" s="20">
        <v>295500</v>
      </c>
    </row>
    <row r="594" spans="1:3" x14ac:dyDescent="0.3">
      <c r="A594" s="20">
        <v>591</v>
      </c>
      <c r="B594" s="20">
        <v>591</v>
      </c>
      <c r="C594" s="20">
        <v>296000</v>
      </c>
    </row>
    <row r="595" spans="1:3" x14ac:dyDescent="0.3">
      <c r="A595" s="20">
        <v>592</v>
      </c>
      <c r="B595" s="20">
        <v>592</v>
      </c>
      <c r="C595" s="20">
        <v>296500</v>
      </c>
    </row>
    <row r="596" spans="1:3" x14ac:dyDescent="0.3">
      <c r="A596" s="20">
        <v>593</v>
      </c>
      <c r="B596" s="20">
        <v>593</v>
      </c>
      <c r="C596" s="20">
        <v>297000</v>
      </c>
    </row>
    <row r="597" spans="1:3" x14ac:dyDescent="0.3">
      <c r="A597" s="20">
        <v>594</v>
      </c>
      <c r="B597" s="20">
        <v>594</v>
      </c>
      <c r="C597" s="20">
        <v>297500</v>
      </c>
    </row>
    <row r="598" spans="1:3" x14ac:dyDescent="0.3">
      <c r="A598" s="20">
        <v>595</v>
      </c>
      <c r="B598" s="20">
        <v>595</v>
      </c>
      <c r="C598" s="20">
        <v>298000</v>
      </c>
    </row>
    <row r="599" spans="1:3" x14ac:dyDescent="0.3">
      <c r="A599" s="20">
        <v>596</v>
      </c>
      <c r="B599" s="20">
        <v>596</v>
      </c>
      <c r="C599" s="20">
        <v>298500</v>
      </c>
    </row>
    <row r="600" spans="1:3" x14ac:dyDescent="0.3">
      <c r="A600" s="20">
        <v>597</v>
      </c>
      <c r="B600" s="20">
        <v>597</v>
      </c>
      <c r="C600" s="20">
        <v>299000</v>
      </c>
    </row>
    <row r="601" spans="1:3" x14ac:dyDescent="0.3">
      <c r="A601" s="20">
        <v>598</v>
      </c>
      <c r="B601" s="20">
        <v>598</v>
      </c>
      <c r="C601" s="20">
        <v>299500</v>
      </c>
    </row>
    <row r="602" spans="1:3" x14ac:dyDescent="0.3">
      <c r="A602" s="20">
        <v>599</v>
      </c>
      <c r="B602" s="20">
        <v>599</v>
      </c>
      <c r="C602" s="20">
        <v>300000</v>
      </c>
    </row>
    <row r="603" spans="1:3" x14ac:dyDescent="0.3">
      <c r="A603" s="20">
        <v>600</v>
      </c>
      <c r="B603" s="20">
        <v>600</v>
      </c>
      <c r="C603" s="20">
        <v>300500</v>
      </c>
    </row>
    <row r="604" spans="1:3" x14ac:dyDescent="0.3">
      <c r="A604" s="20">
        <v>601</v>
      </c>
      <c r="B604" s="20">
        <v>601</v>
      </c>
      <c r="C604" s="20">
        <v>301000</v>
      </c>
    </row>
    <row r="605" spans="1:3" x14ac:dyDescent="0.3">
      <c r="A605" s="20">
        <v>602</v>
      </c>
      <c r="B605" s="20">
        <v>602</v>
      </c>
      <c r="C605" s="20">
        <v>301500</v>
      </c>
    </row>
    <row r="606" spans="1:3" x14ac:dyDescent="0.3">
      <c r="A606" s="20">
        <v>603</v>
      </c>
      <c r="B606" s="20">
        <v>603</v>
      </c>
      <c r="C606" s="20">
        <v>302000</v>
      </c>
    </row>
    <row r="607" spans="1:3" x14ac:dyDescent="0.3">
      <c r="A607" s="20">
        <v>604</v>
      </c>
      <c r="B607" s="20">
        <v>604</v>
      </c>
      <c r="C607" s="20">
        <v>302500</v>
      </c>
    </row>
    <row r="608" spans="1:3" x14ac:dyDescent="0.3">
      <c r="A608" s="20">
        <v>605</v>
      </c>
      <c r="B608" s="20">
        <v>605</v>
      </c>
      <c r="C608" s="20">
        <v>303000</v>
      </c>
    </row>
    <row r="609" spans="1:3" x14ac:dyDescent="0.3">
      <c r="A609" s="20">
        <v>606</v>
      </c>
      <c r="B609" s="20">
        <v>606</v>
      </c>
      <c r="C609" s="20">
        <v>303500</v>
      </c>
    </row>
    <row r="610" spans="1:3" x14ac:dyDescent="0.3">
      <c r="A610" s="20">
        <v>607</v>
      </c>
      <c r="B610" s="20">
        <v>607</v>
      </c>
      <c r="C610" s="20">
        <v>304000</v>
      </c>
    </row>
    <row r="611" spans="1:3" x14ac:dyDescent="0.3">
      <c r="A611" s="20">
        <v>608</v>
      </c>
      <c r="B611" s="20">
        <v>608</v>
      </c>
      <c r="C611" s="20">
        <v>304500</v>
      </c>
    </row>
    <row r="612" spans="1:3" x14ac:dyDescent="0.3">
      <c r="A612" s="20">
        <v>609</v>
      </c>
      <c r="B612" s="20">
        <v>609</v>
      </c>
      <c r="C612" s="20">
        <v>305000</v>
      </c>
    </row>
    <row r="613" spans="1:3" x14ac:dyDescent="0.3">
      <c r="A613" s="20">
        <v>610</v>
      </c>
      <c r="B613" s="20">
        <v>610</v>
      </c>
      <c r="C613" s="20">
        <v>305500</v>
      </c>
    </row>
    <row r="614" spans="1:3" x14ac:dyDescent="0.3">
      <c r="A614" s="20">
        <v>611</v>
      </c>
      <c r="B614" s="20">
        <v>611</v>
      </c>
      <c r="C614" s="20">
        <v>306000</v>
      </c>
    </row>
    <row r="615" spans="1:3" x14ac:dyDescent="0.3">
      <c r="A615" s="20">
        <v>612</v>
      </c>
      <c r="B615" s="20">
        <v>612</v>
      </c>
      <c r="C615" s="20">
        <v>306500</v>
      </c>
    </row>
    <row r="616" spans="1:3" x14ac:dyDescent="0.3">
      <c r="A616" s="20">
        <v>613</v>
      </c>
      <c r="B616" s="20">
        <v>613</v>
      </c>
      <c r="C616" s="20">
        <v>307000</v>
      </c>
    </row>
    <row r="617" spans="1:3" x14ac:dyDescent="0.3">
      <c r="A617" s="20">
        <v>614</v>
      </c>
      <c r="B617" s="20">
        <v>614</v>
      </c>
      <c r="C617" s="20">
        <v>307500</v>
      </c>
    </row>
    <row r="618" spans="1:3" x14ac:dyDescent="0.3">
      <c r="A618" s="20">
        <v>615</v>
      </c>
      <c r="B618" s="20">
        <v>615</v>
      </c>
      <c r="C618" s="20">
        <v>308000</v>
      </c>
    </row>
    <row r="619" spans="1:3" x14ac:dyDescent="0.3">
      <c r="A619" s="20">
        <v>616</v>
      </c>
      <c r="B619" s="20">
        <v>616</v>
      </c>
      <c r="C619" s="20">
        <v>308500</v>
      </c>
    </row>
    <row r="620" spans="1:3" x14ac:dyDescent="0.3">
      <c r="A620" s="20">
        <v>617</v>
      </c>
      <c r="B620" s="20">
        <v>617</v>
      </c>
      <c r="C620" s="20">
        <v>309000</v>
      </c>
    </row>
    <row r="621" spans="1:3" x14ac:dyDescent="0.3">
      <c r="A621" s="20">
        <v>618</v>
      </c>
      <c r="B621" s="20">
        <v>618</v>
      </c>
      <c r="C621" s="20">
        <v>309500</v>
      </c>
    </row>
    <row r="622" spans="1:3" x14ac:dyDescent="0.3">
      <c r="A622" s="20">
        <v>619</v>
      </c>
      <c r="B622" s="20">
        <v>619</v>
      </c>
      <c r="C622" s="20">
        <v>310000</v>
      </c>
    </row>
    <row r="623" spans="1:3" x14ac:dyDescent="0.3">
      <c r="A623" s="20">
        <v>620</v>
      </c>
      <c r="B623" s="20">
        <v>620</v>
      </c>
      <c r="C623" s="20">
        <v>310500</v>
      </c>
    </row>
    <row r="624" spans="1:3" x14ac:dyDescent="0.3">
      <c r="A624" s="20">
        <v>621</v>
      </c>
      <c r="B624" s="20">
        <v>621</v>
      </c>
      <c r="C624" s="20">
        <v>311000</v>
      </c>
    </row>
    <row r="625" spans="1:3" x14ac:dyDescent="0.3">
      <c r="A625" s="20">
        <v>622</v>
      </c>
      <c r="B625" s="20">
        <v>622</v>
      </c>
      <c r="C625" s="20">
        <v>311500</v>
      </c>
    </row>
    <row r="626" spans="1:3" x14ac:dyDescent="0.3">
      <c r="A626" s="20">
        <v>623</v>
      </c>
      <c r="B626" s="20">
        <v>623</v>
      </c>
      <c r="C626" s="20">
        <v>312000</v>
      </c>
    </row>
    <row r="627" spans="1:3" x14ac:dyDescent="0.3">
      <c r="A627" s="20">
        <v>624</v>
      </c>
      <c r="B627" s="20">
        <v>624</v>
      </c>
      <c r="C627" s="20">
        <v>312500</v>
      </c>
    </row>
    <row r="628" spans="1:3" x14ac:dyDescent="0.3">
      <c r="A628" s="20">
        <v>625</v>
      </c>
      <c r="B628" s="20">
        <v>625</v>
      </c>
      <c r="C628" s="20">
        <v>313000</v>
      </c>
    </row>
    <row r="629" spans="1:3" x14ac:dyDescent="0.3">
      <c r="A629" s="20">
        <v>626</v>
      </c>
      <c r="B629" s="20">
        <v>626</v>
      </c>
      <c r="C629" s="20">
        <v>313500</v>
      </c>
    </row>
    <row r="630" spans="1:3" x14ac:dyDescent="0.3">
      <c r="A630" s="20">
        <v>627</v>
      </c>
      <c r="B630" s="20">
        <v>627</v>
      </c>
      <c r="C630" s="20">
        <v>314000</v>
      </c>
    </row>
    <row r="631" spans="1:3" x14ac:dyDescent="0.3">
      <c r="A631" s="20">
        <v>628</v>
      </c>
      <c r="B631" s="20">
        <v>628</v>
      </c>
      <c r="C631" s="20">
        <v>314500</v>
      </c>
    </row>
    <row r="632" spans="1:3" x14ac:dyDescent="0.3">
      <c r="A632" s="20">
        <v>629</v>
      </c>
      <c r="B632" s="20">
        <v>629</v>
      </c>
      <c r="C632" s="20">
        <v>315000</v>
      </c>
    </row>
    <row r="633" spans="1:3" x14ac:dyDescent="0.3">
      <c r="A633" s="20">
        <v>630</v>
      </c>
      <c r="B633" s="20">
        <v>630</v>
      </c>
      <c r="C633" s="20">
        <v>315500</v>
      </c>
    </row>
    <row r="634" spans="1:3" x14ac:dyDescent="0.3">
      <c r="A634" s="20">
        <v>631</v>
      </c>
      <c r="B634" s="20">
        <v>631</v>
      </c>
      <c r="C634" s="20">
        <v>316000</v>
      </c>
    </row>
    <row r="635" spans="1:3" x14ac:dyDescent="0.3">
      <c r="A635" s="20">
        <v>632</v>
      </c>
      <c r="B635" s="20">
        <v>632</v>
      </c>
      <c r="C635" s="20">
        <v>316500</v>
      </c>
    </row>
    <row r="636" spans="1:3" x14ac:dyDescent="0.3">
      <c r="A636" s="20">
        <v>633</v>
      </c>
      <c r="B636" s="20">
        <v>633</v>
      </c>
      <c r="C636" s="20">
        <v>317000</v>
      </c>
    </row>
    <row r="637" spans="1:3" x14ac:dyDescent="0.3">
      <c r="A637" s="20">
        <v>634</v>
      </c>
      <c r="B637" s="20">
        <v>634</v>
      </c>
      <c r="C637" s="20">
        <v>317500</v>
      </c>
    </row>
    <row r="638" spans="1:3" x14ac:dyDescent="0.3">
      <c r="A638" s="20">
        <v>635</v>
      </c>
      <c r="B638" s="20">
        <v>635</v>
      </c>
      <c r="C638" s="20">
        <v>318000</v>
      </c>
    </row>
    <row r="639" spans="1:3" x14ac:dyDescent="0.3">
      <c r="A639" s="20">
        <v>636</v>
      </c>
      <c r="B639" s="20">
        <v>636</v>
      </c>
      <c r="C639" s="20">
        <v>318500</v>
      </c>
    </row>
    <row r="640" spans="1:3" x14ac:dyDescent="0.3">
      <c r="A640" s="20">
        <v>637</v>
      </c>
      <c r="B640" s="20">
        <v>637</v>
      </c>
      <c r="C640" s="20">
        <v>319000</v>
      </c>
    </row>
    <row r="641" spans="1:3" x14ac:dyDescent="0.3">
      <c r="A641" s="20">
        <v>638</v>
      </c>
      <c r="B641" s="20">
        <v>638</v>
      </c>
      <c r="C641" s="20">
        <v>319500</v>
      </c>
    </row>
    <row r="642" spans="1:3" x14ac:dyDescent="0.3">
      <c r="A642" s="20">
        <v>639</v>
      </c>
      <c r="B642" s="20">
        <v>639</v>
      </c>
      <c r="C642" s="20">
        <v>320000</v>
      </c>
    </row>
    <row r="643" spans="1:3" x14ac:dyDescent="0.3">
      <c r="A643" s="20">
        <v>640</v>
      </c>
      <c r="B643" s="20">
        <v>640</v>
      </c>
      <c r="C643" s="20">
        <v>320500</v>
      </c>
    </row>
    <row r="644" spans="1:3" x14ac:dyDescent="0.3">
      <c r="A644" s="20">
        <v>641</v>
      </c>
      <c r="B644" s="20">
        <v>641</v>
      </c>
      <c r="C644" s="20">
        <v>321000</v>
      </c>
    </row>
    <row r="645" spans="1:3" x14ac:dyDescent="0.3">
      <c r="A645" s="20">
        <v>642</v>
      </c>
      <c r="B645" s="20">
        <v>642</v>
      </c>
      <c r="C645" s="20">
        <v>321500</v>
      </c>
    </row>
    <row r="646" spans="1:3" x14ac:dyDescent="0.3">
      <c r="A646" s="20">
        <v>643</v>
      </c>
      <c r="B646" s="20">
        <v>643</v>
      </c>
      <c r="C646" s="20">
        <v>322000</v>
      </c>
    </row>
    <row r="647" spans="1:3" x14ac:dyDescent="0.3">
      <c r="A647" s="20">
        <v>644</v>
      </c>
      <c r="B647" s="20">
        <v>644</v>
      </c>
      <c r="C647" s="20">
        <v>322500</v>
      </c>
    </row>
    <row r="648" spans="1:3" x14ac:dyDescent="0.3">
      <c r="A648" s="20">
        <v>645</v>
      </c>
      <c r="B648" s="20">
        <v>645</v>
      </c>
      <c r="C648" s="20">
        <v>323000</v>
      </c>
    </row>
    <row r="649" spans="1:3" x14ac:dyDescent="0.3">
      <c r="A649" s="20">
        <v>646</v>
      </c>
      <c r="B649" s="20">
        <v>646</v>
      </c>
      <c r="C649" s="20">
        <v>323500</v>
      </c>
    </row>
    <row r="650" spans="1:3" x14ac:dyDescent="0.3">
      <c r="A650" s="20">
        <v>647</v>
      </c>
      <c r="B650" s="20">
        <v>647</v>
      </c>
      <c r="C650" s="20">
        <v>324000</v>
      </c>
    </row>
    <row r="651" spans="1:3" x14ac:dyDescent="0.3">
      <c r="A651" s="20">
        <v>648</v>
      </c>
      <c r="B651" s="20">
        <v>648</v>
      </c>
      <c r="C651" s="20">
        <v>324500</v>
      </c>
    </row>
    <row r="652" spans="1:3" x14ac:dyDescent="0.3">
      <c r="A652" s="20">
        <v>649</v>
      </c>
      <c r="B652" s="20">
        <v>649</v>
      </c>
      <c r="C652" s="20">
        <v>325000</v>
      </c>
    </row>
    <row r="653" spans="1:3" x14ac:dyDescent="0.3">
      <c r="A653" s="20">
        <v>650</v>
      </c>
      <c r="B653" s="20">
        <v>650</v>
      </c>
      <c r="C653" s="20">
        <v>325500</v>
      </c>
    </row>
    <row r="654" spans="1:3" x14ac:dyDescent="0.3">
      <c r="A654" s="20">
        <v>651</v>
      </c>
      <c r="B654" s="20">
        <v>651</v>
      </c>
      <c r="C654" s="20">
        <v>326000</v>
      </c>
    </row>
    <row r="655" spans="1:3" x14ac:dyDescent="0.3">
      <c r="A655" s="20">
        <v>652</v>
      </c>
      <c r="B655" s="20">
        <v>652</v>
      </c>
      <c r="C655" s="20">
        <v>326500</v>
      </c>
    </row>
    <row r="656" spans="1:3" x14ac:dyDescent="0.3">
      <c r="A656" s="20">
        <v>653</v>
      </c>
      <c r="B656" s="20">
        <v>653</v>
      </c>
      <c r="C656" s="20">
        <v>327000</v>
      </c>
    </row>
    <row r="657" spans="1:3" x14ac:dyDescent="0.3">
      <c r="A657" s="20">
        <v>654</v>
      </c>
      <c r="B657" s="20">
        <v>654</v>
      </c>
      <c r="C657" s="20">
        <v>327500</v>
      </c>
    </row>
    <row r="658" spans="1:3" x14ac:dyDescent="0.3">
      <c r="A658" s="20">
        <v>655</v>
      </c>
      <c r="B658" s="20">
        <v>655</v>
      </c>
      <c r="C658" s="20">
        <v>328000</v>
      </c>
    </row>
    <row r="659" spans="1:3" x14ac:dyDescent="0.3">
      <c r="A659" s="20">
        <v>656</v>
      </c>
      <c r="B659" s="20">
        <v>656</v>
      </c>
      <c r="C659" s="20">
        <v>328500</v>
      </c>
    </row>
    <row r="660" spans="1:3" x14ac:dyDescent="0.3">
      <c r="A660" s="20">
        <v>657</v>
      </c>
      <c r="B660" s="20">
        <v>657</v>
      </c>
      <c r="C660" s="20">
        <v>329000</v>
      </c>
    </row>
    <row r="661" spans="1:3" x14ac:dyDescent="0.3">
      <c r="A661" s="20">
        <v>658</v>
      </c>
      <c r="B661" s="20">
        <v>658</v>
      </c>
      <c r="C661" s="20">
        <v>329500</v>
      </c>
    </row>
    <row r="662" spans="1:3" x14ac:dyDescent="0.3">
      <c r="A662" s="20">
        <v>659</v>
      </c>
      <c r="B662" s="20">
        <v>659</v>
      </c>
      <c r="C662" s="20">
        <v>330000</v>
      </c>
    </row>
    <row r="663" spans="1:3" x14ac:dyDescent="0.3">
      <c r="A663" s="20">
        <v>660</v>
      </c>
      <c r="B663" s="20">
        <v>660</v>
      </c>
      <c r="C663" s="20">
        <v>330500</v>
      </c>
    </row>
    <row r="664" spans="1:3" x14ac:dyDescent="0.3">
      <c r="A664" s="20">
        <v>661</v>
      </c>
      <c r="B664" s="20">
        <v>661</v>
      </c>
      <c r="C664" s="20">
        <v>331000</v>
      </c>
    </row>
    <row r="665" spans="1:3" x14ac:dyDescent="0.3">
      <c r="A665" s="20">
        <v>662</v>
      </c>
      <c r="B665" s="20">
        <v>662</v>
      </c>
      <c r="C665" s="20">
        <v>331500</v>
      </c>
    </row>
    <row r="666" spans="1:3" x14ac:dyDescent="0.3">
      <c r="A666" s="20">
        <v>663</v>
      </c>
      <c r="B666" s="20">
        <v>663</v>
      </c>
      <c r="C666" s="20">
        <v>332000</v>
      </c>
    </row>
    <row r="667" spans="1:3" x14ac:dyDescent="0.3">
      <c r="A667" s="20">
        <v>664</v>
      </c>
      <c r="B667" s="20">
        <v>664</v>
      </c>
      <c r="C667" s="20">
        <v>332500</v>
      </c>
    </row>
    <row r="668" spans="1:3" x14ac:dyDescent="0.3">
      <c r="A668" s="20">
        <v>665</v>
      </c>
      <c r="B668" s="20">
        <v>665</v>
      </c>
      <c r="C668" s="20">
        <v>333000</v>
      </c>
    </row>
    <row r="669" spans="1:3" x14ac:dyDescent="0.3">
      <c r="A669" s="20">
        <v>666</v>
      </c>
      <c r="B669" s="20">
        <v>666</v>
      </c>
      <c r="C669" s="20">
        <v>333500</v>
      </c>
    </row>
    <row r="670" spans="1:3" x14ac:dyDescent="0.3">
      <c r="A670" s="20">
        <v>667</v>
      </c>
      <c r="B670" s="20">
        <v>667</v>
      </c>
      <c r="C670" s="20">
        <v>334000</v>
      </c>
    </row>
    <row r="671" spans="1:3" x14ac:dyDescent="0.3">
      <c r="A671" s="20">
        <v>668</v>
      </c>
      <c r="B671" s="20">
        <v>668</v>
      </c>
      <c r="C671" s="20">
        <v>334500</v>
      </c>
    </row>
    <row r="672" spans="1:3" x14ac:dyDescent="0.3">
      <c r="A672" s="20">
        <v>669</v>
      </c>
      <c r="B672" s="20">
        <v>669</v>
      </c>
      <c r="C672" s="20">
        <v>335000</v>
      </c>
    </row>
    <row r="673" spans="1:3" x14ac:dyDescent="0.3">
      <c r="A673" s="20">
        <v>670</v>
      </c>
      <c r="B673" s="20">
        <v>670</v>
      </c>
      <c r="C673" s="20">
        <v>335500</v>
      </c>
    </row>
    <row r="674" spans="1:3" x14ac:dyDescent="0.3">
      <c r="A674" s="20">
        <v>671</v>
      </c>
      <c r="B674" s="20">
        <v>671</v>
      </c>
      <c r="C674" s="20">
        <v>336000</v>
      </c>
    </row>
    <row r="675" spans="1:3" x14ac:dyDescent="0.3">
      <c r="A675" s="20">
        <v>672</v>
      </c>
      <c r="B675" s="20">
        <v>672</v>
      </c>
      <c r="C675" s="20">
        <v>336500</v>
      </c>
    </row>
    <row r="676" spans="1:3" x14ac:dyDescent="0.3">
      <c r="A676" s="20">
        <v>673</v>
      </c>
      <c r="B676" s="20">
        <v>673</v>
      </c>
      <c r="C676" s="20">
        <v>337000</v>
      </c>
    </row>
    <row r="677" spans="1:3" x14ac:dyDescent="0.3">
      <c r="A677" s="20">
        <v>674</v>
      </c>
      <c r="B677" s="20">
        <v>674</v>
      </c>
      <c r="C677" s="20">
        <v>337500</v>
      </c>
    </row>
    <row r="678" spans="1:3" x14ac:dyDescent="0.3">
      <c r="A678" s="20">
        <v>675</v>
      </c>
      <c r="B678" s="20">
        <v>675</v>
      </c>
      <c r="C678" s="20">
        <v>338000</v>
      </c>
    </row>
    <row r="679" spans="1:3" x14ac:dyDescent="0.3">
      <c r="A679" s="20">
        <v>676</v>
      </c>
      <c r="B679" s="20">
        <v>676</v>
      </c>
      <c r="C679" s="20">
        <v>338500</v>
      </c>
    </row>
    <row r="680" spans="1:3" x14ac:dyDescent="0.3">
      <c r="A680" s="20">
        <v>677</v>
      </c>
      <c r="B680" s="20">
        <v>677</v>
      </c>
      <c r="C680" s="20">
        <v>339000</v>
      </c>
    </row>
    <row r="681" spans="1:3" x14ac:dyDescent="0.3">
      <c r="A681" s="20">
        <v>678</v>
      </c>
      <c r="B681" s="20">
        <v>678</v>
      </c>
      <c r="C681" s="20">
        <v>339500</v>
      </c>
    </row>
    <row r="682" spans="1:3" x14ac:dyDescent="0.3">
      <c r="A682" s="20">
        <v>679</v>
      </c>
      <c r="B682" s="20">
        <v>679</v>
      </c>
      <c r="C682" s="20">
        <v>340000</v>
      </c>
    </row>
    <row r="683" spans="1:3" x14ac:dyDescent="0.3">
      <c r="A683" s="20">
        <v>680</v>
      </c>
      <c r="B683" s="20">
        <v>680</v>
      </c>
      <c r="C683" s="20">
        <v>340500</v>
      </c>
    </row>
    <row r="684" spans="1:3" x14ac:dyDescent="0.3">
      <c r="A684" s="20">
        <v>681</v>
      </c>
      <c r="B684" s="20">
        <v>681</v>
      </c>
      <c r="C684" s="20">
        <v>341000</v>
      </c>
    </row>
    <row r="685" spans="1:3" x14ac:dyDescent="0.3">
      <c r="A685" s="20">
        <v>682</v>
      </c>
      <c r="B685" s="20">
        <v>682</v>
      </c>
      <c r="C685" s="20">
        <v>341500</v>
      </c>
    </row>
    <row r="686" spans="1:3" x14ac:dyDescent="0.3">
      <c r="A686" s="20">
        <v>683</v>
      </c>
      <c r="B686" s="20">
        <v>683</v>
      </c>
      <c r="C686" s="20">
        <v>342000</v>
      </c>
    </row>
    <row r="687" spans="1:3" x14ac:dyDescent="0.3">
      <c r="A687" s="20">
        <v>684</v>
      </c>
      <c r="B687" s="20">
        <v>684</v>
      </c>
      <c r="C687" s="20">
        <v>342500</v>
      </c>
    </row>
    <row r="688" spans="1:3" x14ac:dyDescent="0.3">
      <c r="A688" s="20">
        <v>685</v>
      </c>
      <c r="B688" s="20">
        <v>685</v>
      </c>
      <c r="C688" s="20">
        <v>343000</v>
      </c>
    </row>
    <row r="689" spans="1:3" x14ac:dyDescent="0.3">
      <c r="A689" s="20">
        <v>686</v>
      </c>
      <c r="B689" s="20">
        <v>686</v>
      </c>
      <c r="C689" s="20">
        <v>343500</v>
      </c>
    </row>
    <row r="690" spans="1:3" x14ac:dyDescent="0.3">
      <c r="A690" s="20">
        <v>687</v>
      </c>
      <c r="B690" s="20">
        <v>687</v>
      </c>
      <c r="C690" s="20">
        <v>344000</v>
      </c>
    </row>
    <row r="691" spans="1:3" x14ac:dyDescent="0.3">
      <c r="A691" s="20">
        <v>688</v>
      </c>
      <c r="B691" s="20">
        <v>688</v>
      </c>
      <c r="C691" s="20">
        <v>344500</v>
      </c>
    </row>
    <row r="692" spans="1:3" x14ac:dyDescent="0.3">
      <c r="A692" s="20">
        <v>689</v>
      </c>
      <c r="B692" s="20">
        <v>689</v>
      </c>
      <c r="C692" s="20">
        <v>345000</v>
      </c>
    </row>
    <row r="693" spans="1:3" x14ac:dyDescent="0.3">
      <c r="A693" s="20">
        <v>690</v>
      </c>
      <c r="B693" s="20">
        <v>690</v>
      </c>
      <c r="C693" s="20">
        <v>345500</v>
      </c>
    </row>
    <row r="694" spans="1:3" x14ac:dyDescent="0.3">
      <c r="A694" s="20">
        <v>691</v>
      </c>
      <c r="B694" s="20">
        <v>691</v>
      </c>
      <c r="C694" s="20">
        <v>346000</v>
      </c>
    </row>
    <row r="695" spans="1:3" x14ac:dyDescent="0.3">
      <c r="A695" s="20">
        <v>692</v>
      </c>
      <c r="B695" s="20">
        <v>692</v>
      </c>
      <c r="C695" s="20">
        <v>346500</v>
      </c>
    </row>
    <row r="696" spans="1:3" x14ac:dyDescent="0.3">
      <c r="A696" s="20">
        <v>693</v>
      </c>
      <c r="B696" s="20">
        <v>693</v>
      </c>
      <c r="C696" s="20">
        <v>347000</v>
      </c>
    </row>
    <row r="697" spans="1:3" x14ac:dyDescent="0.3">
      <c r="A697" s="20">
        <v>694</v>
      </c>
      <c r="B697" s="20">
        <v>694</v>
      </c>
      <c r="C697" s="20">
        <v>347500</v>
      </c>
    </row>
    <row r="698" spans="1:3" x14ac:dyDescent="0.3">
      <c r="A698" s="20">
        <v>695</v>
      </c>
      <c r="B698" s="20">
        <v>695</v>
      </c>
      <c r="C698" s="20">
        <v>348000</v>
      </c>
    </row>
    <row r="699" spans="1:3" x14ac:dyDescent="0.3">
      <c r="A699" s="20">
        <v>696</v>
      </c>
      <c r="B699" s="20">
        <v>696</v>
      </c>
      <c r="C699" s="20">
        <v>348500</v>
      </c>
    </row>
    <row r="700" spans="1:3" x14ac:dyDescent="0.3">
      <c r="A700" s="20">
        <v>697</v>
      </c>
      <c r="B700" s="20">
        <v>697</v>
      </c>
      <c r="C700" s="20">
        <v>349000</v>
      </c>
    </row>
    <row r="701" spans="1:3" x14ac:dyDescent="0.3">
      <c r="A701" s="20">
        <v>698</v>
      </c>
      <c r="B701" s="20">
        <v>698</v>
      </c>
      <c r="C701" s="20">
        <v>349500</v>
      </c>
    </row>
    <row r="702" spans="1:3" x14ac:dyDescent="0.3">
      <c r="A702" s="20">
        <v>699</v>
      </c>
      <c r="B702" s="20">
        <v>699</v>
      </c>
      <c r="C702" s="20">
        <v>350000</v>
      </c>
    </row>
    <row r="703" spans="1:3" x14ac:dyDescent="0.3">
      <c r="A703" s="20">
        <v>700</v>
      </c>
      <c r="B703" s="20">
        <v>700</v>
      </c>
      <c r="C703" s="20">
        <v>350500</v>
      </c>
    </row>
    <row r="704" spans="1:3" x14ac:dyDescent="0.3">
      <c r="A704" s="20">
        <v>701</v>
      </c>
      <c r="B704" s="20">
        <v>701</v>
      </c>
      <c r="C704" s="20">
        <v>351000</v>
      </c>
    </row>
    <row r="705" spans="1:3" x14ac:dyDescent="0.3">
      <c r="A705" s="20">
        <v>702</v>
      </c>
      <c r="B705" s="20">
        <v>702</v>
      </c>
      <c r="C705" s="20">
        <v>351500</v>
      </c>
    </row>
    <row r="706" spans="1:3" x14ac:dyDescent="0.3">
      <c r="A706" s="20">
        <v>703</v>
      </c>
      <c r="B706" s="20">
        <v>703</v>
      </c>
      <c r="C706" s="20">
        <v>352000</v>
      </c>
    </row>
    <row r="707" spans="1:3" x14ac:dyDescent="0.3">
      <c r="A707" s="20">
        <v>704</v>
      </c>
      <c r="B707" s="20">
        <v>704</v>
      </c>
      <c r="C707" s="20">
        <v>352500</v>
      </c>
    </row>
    <row r="708" spans="1:3" x14ac:dyDescent="0.3">
      <c r="A708" s="20">
        <v>705</v>
      </c>
      <c r="B708" s="20">
        <v>705</v>
      </c>
      <c r="C708" s="20">
        <v>353000</v>
      </c>
    </row>
    <row r="709" spans="1:3" x14ac:dyDescent="0.3">
      <c r="A709" s="20">
        <v>706</v>
      </c>
      <c r="B709" s="20">
        <v>706</v>
      </c>
      <c r="C709" s="20">
        <v>353500</v>
      </c>
    </row>
    <row r="710" spans="1:3" x14ac:dyDescent="0.3">
      <c r="A710" s="20">
        <v>707</v>
      </c>
      <c r="B710" s="20">
        <v>707</v>
      </c>
      <c r="C710" s="20">
        <v>354000</v>
      </c>
    </row>
    <row r="711" spans="1:3" x14ac:dyDescent="0.3">
      <c r="A711" s="20">
        <v>708</v>
      </c>
      <c r="B711" s="20">
        <v>708</v>
      </c>
      <c r="C711" s="20">
        <v>354500</v>
      </c>
    </row>
    <row r="712" spans="1:3" x14ac:dyDescent="0.3">
      <c r="A712" s="20">
        <v>709</v>
      </c>
      <c r="B712" s="20">
        <v>709</v>
      </c>
      <c r="C712" s="20">
        <v>355000</v>
      </c>
    </row>
    <row r="713" spans="1:3" x14ac:dyDescent="0.3">
      <c r="A713" s="20">
        <v>710</v>
      </c>
      <c r="B713" s="20">
        <v>710</v>
      </c>
      <c r="C713" s="20">
        <v>355500</v>
      </c>
    </row>
    <row r="714" spans="1:3" x14ac:dyDescent="0.3">
      <c r="A714" s="20">
        <v>711</v>
      </c>
      <c r="B714" s="20">
        <v>711</v>
      </c>
      <c r="C714" s="20">
        <v>356000</v>
      </c>
    </row>
    <row r="715" spans="1:3" x14ac:dyDescent="0.3">
      <c r="A715" s="20">
        <v>712</v>
      </c>
      <c r="B715" s="20">
        <v>712</v>
      </c>
      <c r="C715" s="20">
        <v>356500</v>
      </c>
    </row>
    <row r="716" spans="1:3" x14ac:dyDescent="0.3">
      <c r="A716" s="20">
        <v>713</v>
      </c>
      <c r="B716" s="20">
        <v>713</v>
      </c>
      <c r="C716" s="20">
        <v>357000</v>
      </c>
    </row>
    <row r="717" spans="1:3" x14ac:dyDescent="0.3">
      <c r="A717" s="20">
        <v>714</v>
      </c>
      <c r="B717" s="20">
        <v>714</v>
      </c>
      <c r="C717" s="20">
        <v>357500</v>
      </c>
    </row>
    <row r="718" spans="1:3" x14ac:dyDescent="0.3">
      <c r="A718" s="20">
        <v>715</v>
      </c>
      <c r="B718" s="20">
        <v>715</v>
      </c>
      <c r="C718" s="20">
        <v>358000</v>
      </c>
    </row>
    <row r="719" spans="1:3" x14ac:dyDescent="0.3">
      <c r="A719" s="20">
        <v>716</v>
      </c>
      <c r="B719" s="20">
        <v>716</v>
      </c>
      <c r="C719" s="20">
        <v>358500</v>
      </c>
    </row>
    <row r="720" spans="1:3" x14ac:dyDescent="0.3">
      <c r="A720" s="20">
        <v>717</v>
      </c>
      <c r="B720" s="20">
        <v>717</v>
      </c>
      <c r="C720" s="20">
        <v>359000</v>
      </c>
    </row>
    <row r="721" spans="1:3" x14ac:dyDescent="0.3">
      <c r="A721" s="20">
        <v>718</v>
      </c>
      <c r="B721" s="20">
        <v>718</v>
      </c>
      <c r="C721" s="20">
        <v>359500</v>
      </c>
    </row>
    <row r="722" spans="1:3" x14ac:dyDescent="0.3">
      <c r="A722" s="20">
        <v>719</v>
      </c>
      <c r="B722" s="20">
        <v>719</v>
      </c>
      <c r="C722" s="20">
        <v>360000</v>
      </c>
    </row>
    <row r="723" spans="1:3" x14ac:dyDescent="0.3">
      <c r="A723" s="20">
        <v>720</v>
      </c>
      <c r="B723" s="20">
        <v>720</v>
      </c>
      <c r="C723" s="20">
        <v>360500</v>
      </c>
    </row>
    <row r="724" spans="1:3" x14ac:dyDescent="0.3">
      <c r="A724" s="20">
        <v>721</v>
      </c>
      <c r="B724" s="20">
        <v>721</v>
      </c>
      <c r="C724" s="20">
        <v>361000</v>
      </c>
    </row>
    <row r="725" spans="1:3" x14ac:dyDescent="0.3">
      <c r="A725" s="20">
        <v>722</v>
      </c>
      <c r="B725" s="20">
        <v>722</v>
      </c>
      <c r="C725" s="20">
        <v>361500</v>
      </c>
    </row>
    <row r="726" spans="1:3" x14ac:dyDescent="0.3">
      <c r="A726" s="20">
        <v>723</v>
      </c>
      <c r="B726" s="20">
        <v>723</v>
      </c>
      <c r="C726" s="20">
        <v>362000</v>
      </c>
    </row>
    <row r="727" spans="1:3" x14ac:dyDescent="0.3">
      <c r="A727" s="20">
        <v>724</v>
      </c>
      <c r="B727" s="20">
        <v>724</v>
      </c>
      <c r="C727" s="20">
        <v>362500</v>
      </c>
    </row>
    <row r="728" spans="1:3" x14ac:dyDescent="0.3">
      <c r="A728" s="20">
        <v>725</v>
      </c>
      <c r="B728" s="20">
        <v>725</v>
      </c>
      <c r="C728" s="20">
        <v>363000</v>
      </c>
    </row>
    <row r="729" spans="1:3" x14ac:dyDescent="0.3">
      <c r="A729" s="20">
        <v>726</v>
      </c>
      <c r="B729" s="20">
        <v>726</v>
      </c>
      <c r="C729" s="20">
        <v>363500</v>
      </c>
    </row>
    <row r="730" spans="1:3" x14ac:dyDescent="0.3">
      <c r="A730" s="20">
        <v>727</v>
      </c>
      <c r="B730" s="20">
        <v>727</v>
      </c>
      <c r="C730" s="20">
        <v>364000</v>
      </c>
    </row>
    <row r="731" spans="1:3" x14ac:dyDescent="0.3">
      <c r="A731" s="20">
        <v>728</v>
      </c>
      <c r="B731" s="20">
        <v>728</v>
      </c>
      <c r="C731" s="20">
        <v>364500</v>
      </c>
    </row>
    <row r="732" spans="1:3" x14ac:dyDescent="0.3">
      <c r="A732" s="20">
        <v>729</v>
      </c>
      <c r="B732" s="20">
        <v>729</v>
      </c>
      <c r="C732" s="20">
        <v>365000</v>
      </c>
    </row>
    <row r="733" spans="1:3" x14ac:dyDescent="0.3">
      <c r="A733" s="20">
        <v>730</v>
      </c>
      <c r="B733" s="20">
        <v>730</v>
      </c>
      <c r="C733" s="20">
        <v>365500</v>
      </c>
    </row>
    <row r="734" spans="1:3" x14ac:dyDescent="0.3">
      <c r="A734" s="20">
        <v>731</v>
      </c>
      <c r="B734" s="20">
        <v>731</v>
      </c>
      <c r="C734" s="20">
        <v>366000</v>
      </c>
    </row>
    <row r="735" spans="1:3" x14ac:dyDescent="0.3">
      <c r="A735" s="20">
        <v>732</v>
      </c>
      <c r="B735" s="20">
        <v>732</v>
      </c>
      <c r="C735" s="20">
        <v>366500</v>
      </c>
    </row>
    <row r="736" spans="1:3" x14ac:dyDescent="0.3">
      <c r="A736" s="20">
        <v>733</v>
      </c>
      <c r="B736" s="20">
        <v>733</v>
      </c>
      <c r="C736" s="20">
        <v>367000</v>
      </c>
    </row>
    <row r="737" spans="1:3" x14ac:dyDescent="0.3">
      <c r="A737" s="20">
        <v>734</v>
      </c>
      <c r="B737" s="20">
        <v>734</v>
      </c>
      <c r="C737" s="20">
        <v>367500</v>
      </c>
    </row>
    <row r="738" spans="1:3" x14ac:dyDescent="0.3">
      <c r="A738" s="20">
        <v>735</v>
      </c>
      <c r="B738" s="20">
        <v>735</v>
      </c>
      <c r="C738" s="20">
        <v>368000</v>
      </c>
    </row>
    <row r="739" spans="1:3" x14ac:dyDescent="0.3">
      <c r="A739" s="20">
        <v>736</v>
      </c>
      <c r="B739" s="20">
        <v>736</v>
      </c>
      <c r="C739" s="20">
        <v>368500</v>
      </c>
    </row>
    <row r="740" spans="1:3" x14ac:dyDescent="0.3">
      <c r="A740" s="20">
        <v>737</v>
      </c>
      <c r="B740" s="20">
        <v>737</v>
      </c>
      <c r="C740" s="20">
        <v>369000</v>
      </c>
    </row>
    <row r="741" spans="1:3" x14ac:dyDescent="0.3">
      <c r="A741" s="20">
        <v>738</v>
      </c>
      <c r="B741" s="20">
        <v>738</v>
      </c>
      <c r="C741" s="20">
        <v>369500</v>
      </c>
    </row>
    <row r="742" spans="1:3" x14ac:dyDescent="0.3">
      <c r="A742" s="20">
        <v>739</v>
      </c>
      <c r="B742" s="20">
        <v>739</v>
      </c>
      <c r="C742" s="20">
        <v>370000</v>
      </c>
    </row>
    <row r="743" spans="1:3" x14ac:dyDescent="0.3">
      <c r="A743" s="20">
        <v>740</v>
      </c>
      <c r="B743" s="20">
        <v>740</v>
      </c>
      <c r="C743" s="20">
        <v>370500</v>
      </c>
    </row>
    <row r="744" spans="1:3" x14ac:dyDescent="0.3">
      <c r="A744" s="20">
        <v>741</v>
      </c>
      <c r="B744" s="20">
        <v>741</v>
      </c>
      <c r="C744" s="20">
        <v>371000</v>
      </c>
    </row>
    <row r="745" spans="1:3" x14ac:dyDescent="0.3">
      <c r="A745" s="20">
        <v>742</v>
      </c>
      <c r="B745" s="20">
        <v>742</v>
      </c>
      <c r="C745" s="20">
        <v>371500</v>
      </c>
    </row>
    <row r="746" spans="1:3" x14ac:dyDescent="0.3">
      <c r="A746" s="20">
        <v>743</v>
      </c>
      <c r="B746" s="20">
        <v>743</v>
      </c>
      <c r="C746" s="20">
        <v>372000</v>
      </c>
    </row>
    <row r="747" spans="1:3" x14ac:dyDescent="0.3">
      <c r="A747" s="20">
        <v>744</v>
      </c>
      <c r="B747" s="20">
        <v>744</v>
      </c>
      <c r="C747" s="20">
        <v>372500</v>
      </c>
    </row>
    <row r="748" spans="1:3" x14ac:dyDescent="0.3">
      <c r="A748" s="20">
        <v>745</v>
      </c>
      <c r="B748" s="20">
        <v>745</v>
      </c>
      <c r="C748" s="20">
        <v>373000</v>
      </c>
    </row>
    <row r="749" spans="1:3" x14ac:dyDescent="0.3">
      <c r="A749" s="20">
        <v>746</v>
      </c>
      <c r="B749" s="20">
        <v>746</v>
      </c>
      <c r="C749" s="20">
        <v>373500</v>
      </c>
    </row>
    <row r="750" spans="1:3" x14ac:dyDescent="0.3">
      <c r="A750" s="20">
        <v>747</v>
      </c>
      <c r="B750" s="20">
        <v>747</v>
      </c>
      <c r="C750" s="20">
        <v>374000</v>
      </c>
    </row>
    <row r="751" spans="1:3" x14ac:dyDescent="0.3">
      <c r="A751" s="20">
        <v>748</v>
      </c>
      <c r="B751" s="20">
        <v>748</v>
      </c>
      <c r="C751" s="20">
        <v>374500</v>
      </c>
    </row>
    <row r="752" spans="1:3" x14ac:dyDescent="0.3">
      <c r="A752" s="20">
        <v>749</v>
      </c>
      <c r="B752" s="20">
        <v>749</v>
      </c>
      <c r="C752" s="20">
        <v>375000</v>
      </c>
    </row>
    <row r="753" spans="1:3" x14ac:dyDescent="0.3">
      <c r="A753" s="20">
        <v>750</v>
      </c>
      <c r="B753" s="20">
        <v>750</v>
      </c>
      <c r="C753" s="20">
        <v>375500</v>
      </c>
    </row>
    <row r="754" spans="1:3" x14ac:dyDescent="0.3">
      <c r="A754" s="20">
        <v>751</v>
      </c>
      <c r="B754" s="20">
        <v>751</v>
      </c>
      <c r="C754" s="20">
        <v>376000</v>
      </c>
    </row>
    <row r="755" spans="1:3" x14ac:dyDescent="0.3">
      <c r="A755" s="20">
        <v>752</v>
      </c>
      <c r="B755" s="20">
        <v>752</v>
      </c>
      <c r="C755" s="20">
        <v>376500</v>
      </c>
    </row>
    <row r="756" spans="1:3" x14ac:dyDescent="0.3">
      <c r="A756" s="20">
        <v>753</v>
      </c>
      <c r="B756" s="20">
        <v>753</v>
      </c>
      <c r="C756" s="20">
        <v>377000</v>
      </c>
    </row>
    <row r="757" spans="1:3" x14ac:dyDescent="0.3">
      <c r="A757" s="20">
        <v>754</v>
      </c>
      <c r="B757" s="20">
        <v>754</v>
      </c>
      <c r="C757" s="20">
        <v>377500</v>
      </c>
    </row>
    <row r="758" spans="1:3" x14ac:dyDescent="0.3">
      <c r="A758" s="20">
        <v>755</v>
      </c>
      <c r="B758" s="20">
        <v>755</v>
      </c>
      <c r="C758" s="20">
        <v>378000</v>
      </c>
    </row>
    <row r="759" spans="1:3" x14ac:dyDescent="0.3">
      <c r="A759" s="20">
        <v>756</v>
      </c>
      <c r="B759" s="20">
        <v>756</v>
      </c>
      <c r="C759" s="20">
        <v>378500</v>
      </c>
    </row>
    <row r="760" spans="1:3" x14ac:dyDescent="0.3">
      <c r="A760" s="20">
        <v>757</v>
      </c>
      <c r="B760" s="20">
        <v>757</v>
      </c>
      <c r="C760" s="20">
        <v>379000</v>
      </c>
    </row>
    <row r="761" spans="1:3" x14ac:dyDescent="0.3">
      <c r="A761" s="20">
        <v>758</v>
      </c>
      <c r="B761" s="20">
        <v>758</v>
      </c>
      <c r="C761" s="20">
        <v>379500</v>
      </c>
    </row>
    <row r="762" spans="1:3" x14ac:dyDescent="0.3">
      <c r="A762" s="20">
        <v>759</v>
      </c>
      <c r="B762" s="20">
        <v>759</v>
      </c>
      <c r="C762" s="20">
        <v>380000</v>
      </c>
    </row>
    <row r="763" spans="1:3" x14ac:dyDescent="0.3">
      <c r="A763" s="20">
        <v>760</v>
      </c>
      <c r="B763" s="20">
        <v>760</v>
      </c>
      <c r="C763" s="20">
        <v>380500</v>
      </c>
    </row>
    <row r="764" spans="1:3" x14ac:dyDescent="0.3">
      <c r="A764" s="20">
        <v>761</v>
      </c>
      <c r="B764" s="20">
        <v>761</v>
      </c>
      <c r="C764" s="20">
        <v>381000</v>
      </c>
    </row>
    <row r="765" spans="1:3" x14ac:dyDescent="0.3">
      <c r="A765" s="20">
        <v>762</v>
      </c>
      <c r="B765" s="20">
        <v>762</v>
      </c>
      <c r="C765" s="20">
        <v>381500</v>
      </c>
    </row>
    <row r="766" spans="1:3" x14ac:dyDescent="0.3">
      <c r="A766" s="20">
        <v>763</v>
      </c>
      <c r="B766" s="20">
        <v>763</v>
      </c>
      <c r="C766" s="20">
        <v>382000</v>
      </c>
    </row>
    <row r="767" spans="1:3" x14ac:dyDescent="0.3">
      <c r="A767" s="20">
        <v>764</v>
      </c>
      <c r="B767" s="20">
        <v>764</v>
      </c>
      <c r="C767" s="20">
        <v>382500</v>
      </c>
    </row>
    <row r="768" spans="1:3" x14ac:dyDescent="0.3">
      <c r="A768" s="20">
        <v>765</v>
      </c>
      <c r="B768" s="20">
        <v>765</v>
      </c>
      <c r="C768" s="20">
        <v>383000</v>
      </c>
    </row>
    <row r="769" spans="1:3" x14ac:dyDescent="0.3">
      <c r="A769" s="20">
        <v>766</v>
      </c>
      <c r="B769" s="20">
        <v>766</v>
      </c>
      <c r="C769" s="20">
        <v>383500</v>
      </c>
    </row>
    <row r="770" spans="1:3" x14ac:dyDescent="0.3">
      <c r="A770" s="20">
        <v>767</v>
      </c>
      <c r="B770" s="20">
        <v>767</v>
      </c>
      <c r="C770" s="20">
        <v>384000</v>
      </c>
    </row>
    <row r="771" spans="1:3" x14ac:dyDescent="0.3">
      <c r="A771" s="20">
        <v>768</v>
      </c>
      <c r="B771" s="20">
        <v>768</v>
      </c>
      <c r="C771" s="20">
        <v>384500</v>
      </c>
    </row>
    <row r="772" spans="1:3" x14ac:dyDescent="0.3">
      <c r="A772" s="20">
        <v>769</v>
      </c>
      <c r="B772" s="20">
        <v>769</v>
      </c>
      <c r="C772" s="20">
        <v>385000</v>
      </c>
    </row>
    <row r="773" spans="1:3" x14ac:dyDescent="0.3">
      <c r="A773" s="20">
        <v>770</v>
      </c>
      <c r="B773" s="20">
        <v>770</v>
      </c>
      <c r="C773" s="20">
        <v>385500</v>
      </c>
    </row>
    <row r="774" spans="1:3" x14ac:dyDescent="0.3">
      <c r="A774" s="20">
        <v>771</v>
      </c>
      <c r="B774" s="20">
        <v>771</v>
      </c>
      <c r="C774" s="20">
        <v>386000</v>
      </c>
    </row>
    <row r="775" spans="1:3" x14ac:dyDescent="0.3">
      <c r="A775" s="20">
        <v>772</v>
      </c>
      <c r="B775" s="20">
        <v>772</v>
      </c>
      <c r="C775" s="20">
        <v>386500</v>
      </c>
    </row>
    <row r="776" spans="1:3" x14ac:dyDescent="0.3">
      <c r="A776" s="20">
        <v>773</v>
      </c>
      <c r="B776" s="20">
        <v>773</v>
      </c>
      <c r="C776" s="20">
        <v>387000</v>
      </c>
    </row>
    <row r="777" spans="1:3" x14ac:dyDescent="0.3">
      <c r="A777" s="20">
        <v>774</v>
      </c>
      <c r="B777" s="20">
        <v>774</v>
      </c>
      <c r="C777" s="20">
        <v>387500</v>
      </c>
    </row>
    <row r="778" spans="1:3" x14ac:dyDescent="0.3">
      <c r="A778" s="20">
        <v>775</v>
      </c>
      <c r="B778" s="20">
        <v>775</v>
      </c>
      <c r="C778" s="20">
        <v>388000</v>
      </c>
    </row>
    <row r="779" spans="1:3" x14ac:dyDescent="0.3">
      <c r="A779" s="20">
        <v>776</v>
      </c>
      <c r="B779" s="20">
        <v>776</v>
      </c>
      <c r="C779" s="20">
        <v>388500</v>
      </c>
    </row>
    <row r="780" spans="1:3" x14ac:dyDescent="0.3">
      <c r="A780" s="20">
        <v>777</v>
      </c>
      <c r="B780" s="20">
        <v>777</v>
      </c>
      <c r="C780" s="20">
        <v>389000</v>
      </c>
    </row>
    <row r="781" spans="1:3" x14ac:dyDescent="0.3">
      <c r="A781" s="20">
        <v>778</v>
      </c>
      <c r="B781" s="20">
        <v>778</v>
      </c>
      <c r="C781" s="20">
        <v>389500</v>
      </c>
    </row>
    <row r="782" spans="1:3" x14ac:dyDescent="0.3">
      <c r="A782" s="20">
        <v>779</v>
      </c>
      <c r="B782" s="20">
        <v>779</v>
      </c>
      <c r="C782" s="20">
        <v>390000</v>
      </c>
    </row>
    <row r="783" spans="1:3" x14ac:dyDescent="0.3">
      <c r="A783" s="20">
        <v>780</v>
      </c>
      <c r="B783" s="20">
        <v>780</v>
      </c>
      <c r="C783" s="20">
        <v>390500</v>
      </c>
    </row>
    <row r="784" spans="1:3" x14ac:dyDescent="0.3">
      <c r="A784" s="20">
        <v>781</v>
      </c>
      <c r="B784" s="20">
        <v>781</v>
      </c>
      <c r="C784" s="20">
        <v>391000</v>
      </c>
    </row>
    <row r="785" spans="1:3" x14ac:dyDescent="0.3">
      <c r="A785" s="20">
        <v>782</v>
      </c>
      <c r="B785" s="20">
        <v>782</v>
      </c>
      <c r="C785" s="20">
        <v>391500</v>
      </c>
    </row>
    <row r="786" spans="1:3" x14ac:dyDescent="0.3">
      <c r="A786" s="20">
        <v>783</v>
      </c>
      <c r="B786" s="20">
        <v>783</v>
      </c>
      <c r="C786" s="20">
        <v>392000</v>
      </c>
    </row>
    <row r="787" spans="1:3" x14ac:dyDescent="0.3">
      <c r="A787" s="20">
        <v>784</v>
      </c>
      <c r="B787" s="20">
        <v>784</v>
      </c>
      <c r="C787" s="20">
        <v>392500</v>
      </c>
    </row>
    <row r="788" spans="1:3" x14ac:dyDescent="0.3">
      <c r="A788" s="20">
        <v>785</v>
      </c>
      <c r="B788" s="20">
        <v>785</v>
      </c>
      <c r="C788" s="20">
        <v>393000</v>
      </c>
    </row>
    <row r="789" spans="1:3" x14ac:dyDescent="0.3">
      <c r="A789" s="20">
        <v>786</v>
      </c>
      <c r="B789" s="20">
        <v>786</v>
      </c>
      <c r="C789" s="20">
        <v>393500</v>
      </c>
    </row>
    <row r="790" spans="1:3" x14ac:dyDescent="0.3">
      <c r="A790" s="20">
        <v>787</v>
      </c>
      <c r="B790" s="20">
        <v>787</v>
      </c>
      <c r="C790" s="20">
        <v>394000</v>
      </c>
    </row>
    <row r="791" spans="1:3" x14ac:dyDescent="0.3">
      <c r="A791" s="20">
        <v>788</v>
      </c>
      <c r="B791" s="20">
        <v>788</v>
      </c>
      <c r="C791" s="20">
        <v>394500</v>
      </c>
    </row>
    <row r="792" spans="1:3" x14ac:dyDescent="0.3">
      <c r="A792" s="20">
        <v>789</v>
      </c>
      <c r="B792" s="20">
        <v>789</v>
      </c>
      <c r="C792" s="20">
        <v>395000</v>
      </c>
    </row>
    <row r="793" spans="1:3" x14ac:dyDescent="0.3">
      <c r="A793" s="20">
        <v>790</v>
      </c>
      <c r="B793" s="20">
        <v>790</v>
      </c>
      <c r="C793" s="20">
        <v>395500</v>
      </c>
    </row>
    <row r="794" spans="1:3" x14ac:dyDescent="0.3">
      <c r="A794" s="20">
        <v>791</v>
      </c>
      <c r="B794" s="20">
        <v>791</v>
      </c>
      <c r="C794" s="20">
        <v>396000</v>
      </c>
    </row>
    <row r="795" spans="1:3" x14ac:dyDescent="0.3">
      <c r="A795" s="20">
        <v>792</v>
      </c>
      <c r="B795" s="20">
        <v>792</v>
      </c>
      <c r="C795" s="20">
        <v>396500</v>
      </c>
    </row>
    <row r="796" spans="1:3" x14ac:dyDescent="0.3">
      <c r="A796" s="20">
        <v>793</v>
      </c>
      <c r="B796" s="20">
        <v>793</v>
      </c>
      <c r="C796" s="20">
        <v>397000</v>
      </c>
    </row>
    <row r="797" spans="1:3" x14ac:dyDescent="0.3">
      <c r="A797" s="20">
        <v>794</v>
      </c>
      <c r="B797" s="20">
        <v>794</v>
      </c>
      <c r="C797" s="20">
        <v>397500</v>
      </c>
    </row>
    <row r="798" spans="1:3" x14ac:dyDescent="0.3">
      <c r="A798" s="20">
        <v>795</v>
      </c>
      <c r="B798" s="20">
        <v>795</v>
      </c>
      <c r="C798" s="20">
        <v>398000</v>
      </c>
    </row>
    <row r="799" spans="1:3" x14ac:dyDescent="0.3">
      <c r="A799" s="20">
        <v>796</v>
      </c>
      <c r="B799" s="20">
        <v>796</v>
      </c>
      <c r="C799" s="20">
        <v>398500</v>
      </c>
    </row>
    <row r="800" spans="1:3" x14ac:dyDescent="0.3">
      <c r="A800" s="20">
        <v>797</v>
      </c>
      <c r="B800" s="20">
        <v>797</v>
      </c>
      <c r="C800" s="20">
        <v>399000</v>
      </c>
    </row>
    <row r="801" spans="1:3" x14ac:dyDescent="0.3">
      <c r="A801" s="20">
        <v>798</v>
      </c>
      <c r="B801" s="20">
        <v>798</v>
      </c>
      <c r="C801" s="20">
        <v>399500</v>
      </c>
    </row>
    <row r="802" spans="1:3" x14ac:dyDescent="0.3">
      <c r="A802" s="20">
        <v>799</v>
      </c>
      <c r="B802" s="20">
        <v>799</v>
      </c>
      <c r="C802" s="20">
        <v>400000</v>
      </c>
    </row>
    <row r="803" spans="1:3" x14ac:dyDescent="0.3">
      <c r="A803" s="20">
        <v>800</v>
      </c>
      <c r="B803" s="20">
        <v>800</v>
      </c>
      <c r="C803" s="20">
        <v>400500</v>
      </c>
    </row>
    <row r="804" spans="1:3" x14ac:dyDescent="0.3">
      <c r="A804" s="20">
        <v>801</v>
      </c>
      <c r="B804" s="20">
        <v>801</v>
      </c>
      <c r="C804" s="20">
        <v>401000</v>
      </c>
    </row>
    <row r="805" spans="1:3" x14ac:dyDescent="0.3">
      <c r="A805" s="20">
        <v>802</v>
      </c>
      <c r="B805" s="20">
        <v>802</v>
      </c>
      <c r="C805" s="20">
        <v>401500</v>
      </c>
    </row>
    <row r="806" spans="1:3" x14ac:dyDescent="0.3">
      <c r="A806" s="20">
        <v>803</v>
      </c>
      <c r="B806" s="20">
        <v>803</v>
      </c>
      <c r="C806" s="20">
        <v>402000</v>
      </c>
    </row>
    <row r="807" spans="1:3" x14ac:dyDescent="0.3">
      <c r="A807" s="20">
        <v>804</v>
      </c>
      <c r="B807" s="20">
        <v>804</v>
      </c>
      <c r="C807" s="20">
        <v>402500</v>
      </c>
    </row>
    <row r="808" spans="1:3" x14ac:dyDescent="0.3">
      <c r="A808" s="20">
        <v>805</v>
      </c>
      <c r="B808" s="20">
        <v>805</v>
      </c>
      <c r="C808" s="20">
        <v>403000</v>
      </c>
    </row>
    <row r="809" spans="1:3" x14ac:dyDescent="0.3">
      <c r="A809" s="20">
        <v>806</v>
      </c>
      <c r="B809" s="20">
        <v>806</v>
      </c>
      <c r="C809" s="20">
        <v>403500</v>
      </c>
    </row>
    <row r="810" spans="1:3" x14ac:dyDescent="0.3">
      <c r="A810" s="20">
        <v>807</v>
      </c>
      <c r="B810" s="20">
        <v>807</v>
      </c>
      <c r="C810" s="20">
        <v>404000</v>
      </c>
    </row>
    <row r="811" spans="1:3" x14ac:dyDescent="0.3">
      <c r="A811" s="20">
        <v>808</v>
      </c>
      <c r="B811" s="20">
        <v>808</v>
      </c>
      <c r="C811" s="20">
        <v>404500</v>
      </c>
    </row>
    <row r="812" spans="1:3" x14ac:dyDescent="0.3">
      <c r="A812" s="20">
        <v>809</v>
      </c>
      <c r="B812" s="20">
        <v>809</v>
      </c>
      <c r="C812" s="20">
        <v>405000</v>
      </c>
    </row>
    <row r="813" spans="1:3" x14ac:dyDescent="0.3">
      <c r="A813" s="20">
        <v>810</v>
      </c>
      <c r="B813" s="20">
        <v>810</v>
      </c>
      <c r="C813" s="20">
        <v>405500</v>
      </c>
    </row>
    <row r="814" spans="1:3" x14ac:dyDescent="0.3">
      <c r="A814" s="20">
        <v>811</v>
      </c>
      <c r="B814" s="20">
        <v>811</v>
      </c>
      <c r="C814" s="20">
        <v>406000</v>
      </c>
    </row>
    <row r="815" spans="1:3" x14ac:dyDescent="0.3">
      <c r="A815" s="20">
        <v>812</v>
      </c>
      <c r="B815" s="20">
        <v>812</v>
      </c>
      <c r="C815" s="20">
        <v>406500</v>
      </c>
    </row>
    <row r="816" spans="1:3" x14ac:dyDescent="0.3">
      <c r="A816" s="20">
        <v>813</v>
      </c>
      <c r="B816" s="20">
        <v>813</v>
      </c>
      <c r="C816" s="20">
        <v>407000</v>
      </c>
    </row>
    <row r="817" spans="1:3" x14ac:dyDescent="0.3">
      <c r="A817" s="20">
        <v>814</v>
      </c>
      <c r="B817" s="20">
        <v>814</v>
      </c>
      <c r="C817" s="20">
        <v>407500</v>
      </c>
    </row>
    <row r="818" spans="1:3" x14ac:dyDescent="0.3">
      <c r="A818" s="20">
        <v>815</v>
      </c>
      <c r="B818" s="20">
        <v>815</v>
      </c>
      <c r="C818" s="20">
        <v>408000</v>
      </c>
    </row>
    <row r="819" spans="1:3" x14ac:dyDescent="0.3">
      <c r="A819" s="20">
        <v>816</v>
      </c>
      <c r="B819" s="20">
        <v>816</v>
      </c>
      <c r="C819" s="20">
        <v>408500</v>
      </c>
    </row>
    <row r="820" spans="1:3" x14ac:dyDescent="0.3">
      <c r="A820" s="20">
        <v>817</v>
      </c>
      <c r="B820" s="20">
        <v>817</v>
      </c>
      <c r="C820" s="20">
        <v>409000</v>
      </c>
    </row>
    <row r="821" spans="1:3" x14ac:dyDescent="0.3">
      <c r="A821" s="20">
        <v>818</v>
      </c>
      <c r="B821" s="20">
        <v>818</v>
      </c>
      <c r="C821" s="20">
        <v>409500</v>
      </c>
    </row>
    <row r="822" spans="1:3" x14ac:dyDescent="0.3">
      <c r="A822" s="20">
        <v>819</v>
      </c>
      <c r="B822" s="20">
        <v>819</v>
      </c>
      <c r="C822" s="20">
        <v>410000</v>
      </c>
    </row>
    <row r="823" spans="1:3" x14ac:dyDescent="0.3">
      <c r="A823" s="20">
        <v>820</v>
      </c>
      <c r="B823" s="20">
        <v>820</v>
      </c>
      <c r="C823" s="20">
        <v>410500</v>
      </c>
    </row>
    <row r="824" spans="1:3" x14ac:dyDescent="0.3">
      <c r="A824" s="20">
        <v>821</v>
      </c>
      <c r="B824" s="20">
        <v>821</v>
      </c>
      <c r="C824" s="20">
        <v>411000</v>
      </c>
    </row>
    <row r="825" spans="1:3" x14ac:dyDescent="0.3">
      <c r="A825" s="20">
        <v>822</v>
      </c>
      <c r="B825" s="20">
        <v>822</v>
      </c>
      <c r="C825" s="20">
        <v>411500</v>
      </c>
    </row>
    <row r="826" spans="1:3" x14ac:dyDescent="0.3">
      <c r="A826" s="20">
        <v>823</v>
      </c>
      <c r="B826" s="20">
        <v>823</v>
      </c>
      <c r="C826" s="20">
        <v>412000</v>
      </c>
    </row>
    <row r="827" spans="1:3" x14ac:dyDescent="0.3">
      <c r="A827" s="20">
        <v>824</v>
      </c>
      <c r="B827" s="20">
        <v>824</v>
      </c>
      <c r="C827" s="20">
        <v>412500</v>
      </c>
    </row>
    <row r="828" spans="1:3" x14ac:dyDescent="0.3">
      <c r="A828" s="20">
        <v>825</v>
      </c>
      <c r="B828" s="20">
        <v>825</v>
      </c>
      <c r="C828" s="20">
        <v>413000</v>
      </c>
    </row>
    <row r="829" spans="1:3" x14ac:dyDescent="0.3">
      <c r="A829" s="20">
        <v>826</v>
      </c>
      <c r="B829" s="20">
        <v>826</v>
      </c>
      <c r="C829" s="20">
        <v>413500</v>
      </c>
    </row>
    <row r="830" spans="1:3" x14ac:dyDescent="0.3">
      <c r="A830" s="20">
        <v>827</v>
      </c>
      <c r="B830" s="20">
        <v>827</v>
      </c>
      <c r="C830" s="20">
        <v>414000</v>
      </c>
    </row>
    <row r="831" spans="1:3" x14ac:dyDescent="0.3">
      <c r="A831" s="20">
        <v>828</v>
      </c>
      <c r="B831" s="20">
        <v>828</v>
      </c>
      <c r="C831" s="20">
        <v>414500</v>
      </c>
    </row>
    <row r="832" spans="1:3" x14ac:dyDescent="0.3">
      <c r="A832" s="20">
        <v>829</v>
      </c>
      <c r="B832" s="20">
        <v>829</v>
      </c>
      <c r="C832" s="20">
        <v>415000</v>
      </c>
    </row>
    <row r="833" spans="1:3" x14ac:dyDescent="0.3">
      <c r="A833" s="20">
        <v>830</v>
      </c>
      <c r="B833" s="20">
        <v>830</v>
      </c>
      <c r="C833" s="20">
        <v>415500</v>
      </c>
    </row>
    <row r="834" spans="1:3" x14ac:dyDescent="0.3">
      <c r="A834" s="20">
        <v>831</v>
      </c>
      <c r="B834" s="20">
        <v>831</v>
      </c>
      <c r="C834" s="20">
        <v>416000</v>
      </c>
    </row>
    <row r="835" spans="1:3" x14ac:dyDescent="0.3">
      <c r="A835" s="20">
        <v>832</v>
      </c>
      <c r="B835" s="20">
        <v>832</v>
      </c>
      <c r="C835" s="20">
        <v>416500</v>
      </c>
    </row>
    <row r="836" spans="1:3" x14ac:dyDescent="0.3">
      <c r="A836" s="20">
        <v>833</v>
      </c>
      <c r="B836" s="20">
        <v>833</v>
      </c>
      <c r="C836" s="20">
        <v>417000</v>
      </c>
    </row>
    <row r="837" spans="1:3" x14ac:dyDescent="0.3">
      <c r="A837" s="20">
        <v>834</v>
      </c>
      <c r="B837" s="20">
        <v>834</v>
      </c>
      <c r="C837" s="20">
        <v>417500</v>
      </c>
    </row>
    <row r="838" spans="1:3" x14ac:dyDescent="0.3">
      <c r="A838" s="20">
        <v>835</v>
      </c>
      <c r="B838" s="20">
        <v>835</v>
      </c>
      <c r="C838" s="20">
        <v>418000</v>
      </c>
    </row>
    <row r="839" spans="1:3" x14ac:dyDescent="0.3">
      <c r="A839" s="20">
        <v>836</v>
      </c>
      <c r="B839" s="20">
        <v>836</v>
      </c>
      <c r="C839" s="20">
        <v>418500</v>
      </c>
    </row>
    <row r="840" spans="1:3" x14ac:dyDescent="0.3">
      <c r="A840" s="20">
        <v>837</v>
      </c>
      <c r="B840" s="20">
        <v>837</v>
      </c>
      <c r="C840" s="20">
        <v>419000</v>
      </c>
    </row>
    <row r="841" spans="1:3" x14ac:dyDescent="0.3">
      <c r="A841" s="20">
        <v>838</v>
      </c>
      <c r="B841" s="20">
        <v>838</v>
      </c>
      <c r="C841" s="20">
        <v>419500</v>
      </c>
    </row>
    <row r="842" spans="1:3" x14ac:dyDescent="0.3">
      <c r="A842" s="20">
        <v>839</v>
      </c>
      <c r="B842" s="20">
        <v>839</v>
      </c>
      <c r="C842" s="20">
        <v>420000</v>
      </c>
    </row>
    <row r="843" spans="1:3" x14ac:dyDescent="0.3">
      <c r="A843" s="20">
        <v>840</v>
      </c>
      <c r="B843" s="20">
        <v>840</v>
      </c>
      <c r="C843" s="20">
        <v>420500</v>
      </c>
    </row>
    <row r="844" spans="1:3" x14ac:dyDescent="0.3">
      <c r="A844" s="20">
        <v>841</v>
      </c>
      <c r="B844" s="20">
        <v>841</v>
      </c>
      <c r="C844" s="20">
        <v>421000</v>
      </c>
    </row>
    <row r="845" spans="1:3" x14ac:dyDescent="0.3">
      <c r="A845" s="20">
        <v>842</v>
      </c>
      <c r="B845" s="20">
        <v>842</v>
      </c>
      <c r="C845" s="20">
        <v>421500</v>
      </c>
    </row>
    <row r="846" spans="1:3" x14ac:dyDescent="0.3">
      <c r="A846" s="20">
        <v>843</v>
      </c>
      <c r="B846" s="20">
        <v>843</v>
      </c>
      <c r="C846" s="20">
        <v>422000</v>
      </c>
    </row>
    <row r="847" spans="1:3" x14ac:dyDescent="0.3">
      <c r="A847" s="20">
        <v>844</v>
      </c>
      <c r="B847" s="20">
        <v>844</v>
      </c>
      <c r="C847" s="20">
        <v>422500</v>
      </c>
    </row>
    <row r="848" spans="1:3" x14ac:dyDescent="0.3">
      <c r="A848" s="20">
        <v>845</v>
      </c>
      <c r="B848" s="20">
        <v>845</v>
      </c>
      <c r="C848" s="20">
        <v>423000</v>
      </c>
    </row>
    <row r="849" spans="1:3" x14ac:dyDescent="0.3">
      <c r="A849" s="20">
        <v>846</v>
      </c>
      <c r="B849" s="20">
        <v>846</v>
      </c>
      <c r="C849" s="20">
        <v>423500</v>
      </c>
    </row>
    <row r="850" spans="1:3" x14ac:dyDescent="0.3">
      <c r="A850" s="20">
        <v>847</v>
      </c>
      <c r="B850" s="20">
        <v>847</v>
      </c>
      <c r="C850" s="20">
        <v>424000</v>
      </c>
    </row>
    <row r="851" spans="1:3" x14ac:dyDescent="0.3">
      <c r="A851" s="20">
        <v>848</v>
      </c>
      <c r="B851" s="20">
        <v>848</v>
      </c>
      <c r="C851" s="20">
        <v>424500</v>
      </c>
    </row>
    <row r="852" spans="1:3" x14ac:dyDescent="0.3">
      <c r="A852" s="20">
        <v>849</v>
      </c>
      <c r="B852" s="20">
        <v>849</v>
      </c>
      <c r="C852" s="20">
        <v>425000</v>
      </c>
    </row>
    <row r="853" spans="1:3" x14ac:dyDescent="0.3">
      <c r="A853" s="20">
        <v>850</v>
      </c>
      <c r="B853" s="20">
        <v>850</v>
      </c>
      <c r="C853" s="20">
        <v>425500</v>
      </c>
    </row>
    <row r="854" spans="1:3" x14ac:dyDescent="0.3">
      <c r="A854" s="20">
        <v>851</v>
      </c>
      <c r="B854" s="20">
        <v>851</v>
      </c>
      <c r="C854" s="20">
        <v>426000</v>
      </c>
    </row>
    <row r="855" spans="1:3" x14ac:dyDescent="0.3">
      <c r="A855" s="20">
        <v>852</v>
      </c>
      <c r="B855" s="20">
        <v>852</v>
      </c>
      <c r="C855" s="20">
        <v>426500</v>
      </c>
    </row>
    <row r="856" spans="1:3" x14ac:dyDescent="0.3">
      <c r="A856" s="20">
        <v>853</v>
      </c>
      <c r="B856" s="20">
        <v>853</v>
      </c>
      <c r="C856" s="20">
        <v>427000</v>
      </c>
    </row>
    <row r="857" spans="1:3" x14ac:dyDescent="0.3">
      <c r="A857" s="20">
        <v>854</v>
      </c>
      <c r="B857" s="20">
        <v>854</v>
      </c>
      <c r="C857" s="20">
        <v>427500</v>
      </c>
    </row>
    <row r="858" spans="1:3" x14ac:dyDescent="0.3">
      <c r="A858" s="20">
        <v>855</v>
      </c>
      <c r="B858" s="20">
        <v>855</v>
      </c>
      <c r="C858" s="20">
        <v>428000</v>
      </c>
    </row>
    <row r="859" spans="1:3" x14ac:dyDescent="0.3">
      <c r="A859" s="20">
        <v>856</v>
      </c>
      <c r="B859" s="20">
        <v>856</v>
      </c>
      <c r="C859" s="20">
        <v>428500</v>
      </c>
    </row>
    <row r="860" spans="1:3" x14ac:dyDescent="0.3">
      <c r="A860" s="20">
        <v>857</v>
      </c>
      <c r="B860" s="20">
        <v>857</v>
      </c>
      <c r="C860" s="20">
        <v>429000</v>
      </c>
    </row>
    <row r="861" spans="1:3" x14ac:dyDescent="0.3">
      <c r="A861" s="20">
        <v>858</v>
      </c>
      <c r="B861" s="20">
        <v>858</v>
      </c>
      <c r="C861" s="20">
        <v>429500</v>
      </c>
    </row>
    <row r="862" spans="1:3" x14ac:dyDescent="0.3">
      <c r="A862" s="20">
        <v>859</v>
      </c>
      <c r="B862" s="20">
        <v>859</v>
      </c>
      <c r="C862" s="20">
        <v>430000</v>
      </c>
    </row>
    <row r="863" spans="1:3" x14ac:dyDescent="0.3">
      <c r="A863" s="20">
        <v>860</v>
      </c>
      <c r="B863" s="20">
        <v>860</v>
      </c>
      <c r="C863" s="20">
        <v>430500</v>
      </c>
    </row>
    <row r="864" spans="1:3" x14ac:dyDescent="0.3">
      <c r="A864" s="20">
        <v>861</v>
      </c>
      <c r="B864" s="20">
        <v>861</v>
      </c>
      <c r="C864" s="20">
        <v>431000</v>
      </c>
    </row>
    <row r="865" spans="1:3" x14ac:dyDescent="0.3">
      <c r="A865" s="20">
        <v>862</v>
      </c>
      <c r="B865" s="20">
        <v>862</v>
      </c>
      <c r="C865" s="20">
        <v>431500</v>
      </c>
    </row>
    <row r="866" spans="1:3" x14ac:dyDescent="0.3">
      <c r="A866" s="20">
        <v>863</v>
      </c>
      <c r="B866" s="20">
        <v>863</v>
      </c>
      <c r="C866" s="20">
        <v>432000</v>
      </c>
    </row>
    <row r="867" spans="1:3" x14ac:dyDescent="0.3">
      <c r="A867" s="20">
        <v>864</v>
      </c>
      <c r="B867" s="20">
        <v>864</v>
      </c>
      <c r="C867" s="20">
        <v>432500</v>
      </c>
    </row>
    <row r="868" spans="1:3" x14ac:dyDescent="0.3">
      <c r="A868" s="20">
        <v>865</v>
      </c>
      <c r="B868" s="20">
        <v>865</v>
      </c>
      <c r="C868" s="20">
        <v>433000</v>
      </c>
    </row>
    <row r="869" spans="1:3" x14ac:dyDescent="0.3">
      <c r="A869" s="20">
        <v>866</v>
      </c>
      <c r="B869" s="20">
        <v>866</v>
      </c>
      <c r="C869" s="20">
        <v>433500</v>
      </c>
    </row>
    <row r="870" spans="1:3" x14ac:dyDescent="0.3">
      <c r="A870" s="20">
        <v>867</v>
      </c>
      <c r="B870" s="20">
        <v>867</v>
      </c>
      <c r="C870" s="20">
        <v>434000</v>
      </c>
    </row>
    <row r="871" spans="1:3" x14ac:dyDescent="0.3">
      <c r="A871" s="20">
        <v>868</v>
      </c>
      <c r="B871" s="20">
        <v>868</v>
      </c>
      <c r="C871" s="20">
        <v>434500</v>
      </c>
    </row>
    <row r="872" spans="1:3" x14ac:dyDescent="0.3">
      <c r="A872" s="20">
        <v>869</v>
      </c>
      <c r="B872" s="20">
        <v>869</v>
      </c>
      <c r="C872" s="20">
        <v>435000</v>
      </c>
    </row>
    <row r="873" spans="1:3" x14ac:dyDescent="0.3">
      <c r="A873" s="20">
        <v>870</v>
      </c>
      <c r="B873" s="20">
        <v>870</v>
      </c>
      <c r="C873" s="20">
        <v>435500</v>
      </c>
    </row>
    <row r="874" spans="1:3" x14ac:dyDescent="0.3">
      <c r="A874" s="20">
        <v>871</v>
      </c>
      <c r="B874" s="20">
        <v>871</v>
      </c>
      <c r="C874" s="20">
        <v>436000</v>
      </c>
    </row>
    <row r="875" spans="1:3" x14ac:dyDescent="0.3">
      <c r="A875" s="20">
        <v>872</v>
      </c>
      <c r="B875" s="20">
        <v>872</v>
      </c>
      <c r="C875" s="20">
        <v>436500</v>
      </c>
    </row>
    <row r="876" spans="1:3" x14ac:dyDescent="0.3">
      <c r="A876" s="20">
        <v>873</v>
      </c>
      <c r="B876" s="20">
        <v>873</v>
      </c>
      <c r="C876" s="20">
        <v>437000</v>
      </c>
    </row>
    <row r="877" spans="1:3" x14ac:dyDescent="0.3">
      <c r="A877" s="20">
        <v>874</v>
      </c>
      <c r="B877" s="20">
        <v>874</v>
      </c>
      <c r="C877" s="20">
        <v>437500</v>
      </c>
    </row>
    <row r="878" spans="1:3" x14ac:dyDescent="0.3">
      <c r="A878" s="20">
        <v>875</v>
      </c>
      <c r="B878" s="20">
        <v>875</v>
      </c>
      <c r="C878" s="20">
        <v>438000</v>
      </c>
    </row>
    <row r="879" spans="1:3" x14ac:dyDescent="0.3">
      <c r="A879" s="20">
        <v>876</v>
      </c>
      <c r="B879" s="20">
        <v>876</v>
      </c>
      <c r="C879" s="20">
        <v>438500</v>
      </c>
    </row>
    <row r="880" spans="1:3" x14ac:dyDescent="0.3">
      <c r="A880" s="20">
        <v>877</v>
      </c>
      <c r="B880" s="20">
        <v>877</v>
      </c>
      <c r="C880" s="20">
        <v>439000</v>
      </c>
    </row>
    <row r="881" spans="1:3" x14ac:dyDescent="0.3">
      <c r="A881" s="20">
        <v>878</v>
      </c>
      <c r="B881" s="20">
        <v>878</v>
      </c>
      <c r="C881" s="20">
        <v>439500</v>
      </c>
    </row>
    <row r="882" spans="1:3" x14ac:dyDescent="0.3">
      <c r="A882" s="20">
        <v>879</v>
      </c>
      <c r="B882" s="20">
        <v>879</v>
      </c>
      <c r="C882" s="20">
        <v>440000</v>
      </c>
    </row>
    <row r="883" spans="1:3" x14ac:dyDescent="0.3">
      <c r="A883" s="20">
        <v>880</v>
      </c>
      <c r="B883" s="20">
        <v>880</v>
      </c>
      <c r="C883" s="20">
        <v>440500</v>
      </c>
    </row>
    <row r="884" spans="1:3" x14ac:dyDescent="0.3">
      <c r="A884" s="20">
        <v>881</v>
      </c>
      <c r="B884" s="20">
        <v>881</v>
      </c>
      <c r="C884" s="20">
        <v>441000</v>
      </c>
    </row>
    <row r="885" spans="1:3" x14ac:dyDescent="0.3">
      <c r="A885" s="20">
        <v>882</v>
      </c>
      <c r="B885" s="20">
        <v>882</v>
      </c>
      <c r="C885" s="20">
        <v>441500</v>
      </c>
    </row>
    <row r="886" spans="1:3" x14ac:dyDescent="0.3">
      <c r="A886" s="20">
        <v>883</v>
      </c>
      <c r="B886" s="20">
        <v>883</v>
      </c>
      <c r="C886" s="20">
        <v>442000</v>
      </c>
    </row>
    <row r="887" spans="1:3" x14ac:dyDescent="0.3">
      <c r="A887" s="20">
        <v>884</v>
      </c>
      <c r="B887" s="20">
        <v>884</v>
      </c>
      <c r="C887" s="20">
        <v>442500</v>
      </c>
    </row>
    <row r="888" spans="1:3" x14ac:dyDescent="0.3">
      <c r="A888" s="20">
        <v>885</v>
      </c>
      <c r="B888" s="20">
        <v>885</v>
      </c>
      <c r="C888" s="20">
        <v>443000</v>
      </c>
    </row>
    <row r="889" spans="1:3" x14ac:dyDescent="0.3">
      <c r="A889" s="20">
        <v>886</v>
      </c>
      <c r="B889" s="20">
        <v>886</v>
      </c>
      <c r="C889" s="20">
        <v>443500</v>
      </c>
    </row>
    <row r="890" spans="1:3" x14ac:dyDescent="0.3">
      <c r="A890" s="20">
        <v>887</v>
      </c>
      <c r="B890" s="20">
        <v>887</v>
      </c>
      <c r="C890" s="20">
        <v>444000</v>
      </c>
    </row>
    <row r="891" spans="1:3" x14ac:dyDescent="0.3">
      <c r="A891" s="20">
        <v>888</v>
      </c>
      <c r="B891" s="20">
        <v>888</v>
      </c>
      <c r="C891" s="20">
        <v>444500</v>
      </c>
    </row>
    <row r="892" spans="1:3" x14ac:dyDescent="0.3">
      <c r="A892" s="20">
        <v>889</v>
      </c>
      <c r="B892" s="20">
        <v>889</v>
      </c>
      <c r="C892" s="20">
        <v>445000</v>
      </c>
    </row>
    <row r="893" spans="1:3" x14ac:dyDescent="0.3">
      <c r="A893" s="20">
        <v>890</v>
      </c>
      <c r="B893" s="20">
        <v>890</v>
      </c>
      <c r="C893" s="20">
        <v>445500</v>
      </c>
    </row>
    <row r="894" spans="1:3" x14ac:dyDescent="0.3">
      <c r="A894" s="20">
        <v>891</v>
      </c>
      <c r="B894" s="20">
        <v>891</v>
      </c>
      <c r="C894" s="20">
        <v>446000</v>
      </c>
    </row>
    <row r="895" spans="1:3" x14ac:dyDescent="0.3">
      <c r="A895" s="20">
        <v>892</v>
      </c>
      <c r="B895" s="20">
        <v>892</v>
      </c>
      <c r="C895" s="20">
        <v>446500</v>
      </c>
    </row>
    <row r="896" spans="1:3" x14ac:dyDescent="0.3">
      <c r="A896" s="20">
        <v>893</v>
      </c>
      <c r="B896" s="20">
        <v>893</v>
      </c>
      <c r="C896" s="20">
        <v>447000</v>
      </c>
    </row>
    <row r="897" spans="1:3" x14ac:dyDescent="0.3">
      <c r="A897" s="20">
        <v>894</v>
      </c>
      <c r="B897" s="20">
        <v>894</v>
      </c>
      <c r="C897" s="20">
        <v>447500</v>
      </c>
    </row>
    <row r="898" spans="1:3" x14ac:dyDescent="0.3">
      <c r="A898" s="20">
        <v>895</v>
      </c>
      <c r="B898" s="20">
        <v>895</v>
      </c>
      <c r="C898" s="20">
        <v>448000</v>
      </c>
    </row>
    <row r="899" spans="1:3" x14ac:dyDescent="0.3">
      <c r="A899" s="20">
        <v>896</v>
      </c>
      <c r="B899" s="20">
        <v>896</v>
      </c>
      <c r="C899" s="20">
        <v>448500</v>
      </c>
    </row>
    <row r="900" spans="1:3" x14ac:dyDescent="0.3">
      <c r="A900" s="20">
        <v>897</v>
      </c>
      <c r="B900" s="20">
        <v>897</v>
      </c>
      <c r="C900" s="20">
        <v>449000</v>
      </c>
    </row>
    <row r="901" spans="1:3" x14ac:dyDescent="0.3">
      <c r="A901" s="20">
        <v>898</v>
      </c>
      <c r="B901" s="20">
        <v>898</v>
      </c>
      <c r="C901" s="20">
        <v>449500</v>
      </c>
    </row>
    <row r="902" spans="1:3" x14ac:dyDescent="0.3">
      <c r="A902" s="20">
        <v>899</v>
      </c>
      <c r="B902" s="20">
        <v>899</v>
      </c>
      <c r="C902" s="20">
        <v>450000</v>
      </c>
    </row>
    <row r="903" spans="1:3" x14ac:dyDescent="0.3">
      <c r="A903" s="20">
        <v>900</v>
      </c>
      <c r="B903" s="20">
        <v>900</v>
      </c>
      <c r="C903" s="20">
        <v>450500</v>
      </c>
    </row>
    <row r="904" spans="1:3" x14ac:dyDescent="0.3">
      <c r="A904" s="20">
        <v>901</v>
      </c>
      <c r="B904" s="20">
        <v>901</v>
      </c>
      <c r="C904" s="20">
        <v>451000</v>
      </c>
    </row>
    <row r="905" spans="1:3" x14ac:dyDescent="0.3">
      <c r="A905" s="20">
        <v>902</v>
      </c>
      <c r="B905" s="20">
        <v>902</v>
      </c>
      <c r="C905" s="20">
        <v>451500</v>
      </c>
    </row>
    <row r="906" spans="1:3" x14ac:dyDescent="0.3">
      <c r="A906" s="20">
        <v>903</v>
      </c>
      <c r="B906" s="20">
        <v>903</v>
      </c>
      <c r="C906" s="20">
        <v>452000</v>
      </c>
    </row>
    <row r="907" spans="1:3" x14ac:dyDescent="0.3">
      <c r="A907" s="20">
        <v>904</v>
      </c>
      <c r="B907" s="20">
        <v>904</v>
      </c>
      <c r="C907" s="20">
        <v>452500</v>
      </c>
    </row>
    <row r="908" spans="1:3" x14ac:dyDescent="0.3">
      <c r="A908" s="20">
        <v>905</v>
      </c>
      <c r="B908" s="20">
        <v>905</v>
      </c>
      <c r="C908" s="20">
        <v>453000</v>
      </c>
    </row>
    <row r="909" spans="1:3" x14ac:dyDescent="0.3">
      <c r="A909" s="20">
        <v>906</v>
      </c>
      <c r="B909" s="20">
        <v>906</v>
      </c>
      <c r="C909" s="20">
        <v>453500</v>
      </c>
    </row>
    <row r="910" spans="1:3" x14ac:dyDescent="0.3">
      <c r="A910" s="20">
        <v>907</v>
      </c>
      <c r="B910" s="20">
        <v>907</v>
      </c>
      <c r="C910" s="20">
        <v>454000</v>
      </c>
    </row>
    <row r="911" spans="1:3" x14ac:dyDescent="0.3">
      <c r="A911" s="20">
        <v>908</v>
      </c>
      <c r="B911" s="20">
        <v>908</v>
      </c>
      <c r="C911" s="20">
        <v>454500</v>
      </c>
    </row>
    <row r="912" spans="1:3" x14ac:dyDescent="0.3">
      <c r="A912" s="20">
        <v>909</v>
      </c>
      <c r="B912" s="20">
        <v>909</v>
      </c>
      <c r="C912" s="20">
        <v>455000</v>
      </c>
    </row>
    <row r="913" spans="1:3" x14ac:dyDescent="0.3">
      <c r="A913" s="20">
        <v>910</v>
      </c>
      <c r="B913" s="20">
        <v>910</v>
      </c>
      <c r="C913" s="20">
        <v>455500</v>
      </c>
    </row>
    <row r="914" spans="1:3" x14ac:dyDescent="0.3">
      <c r="A914" s="20">
        <v>911</v>
      </c>
      <c r="B914" s="20">
        <v>911</v>
      </c>
      <c r="C914" s="20">
        <v>456000</v>
      </c>
    </row>
    <row r="915" spans="1:3" x14ac:dyDescent="0.3">
      <c r="A915" s="20">
        <v>912</v>
      </c>
      <c r="B915" s="20">
        <v>912</v>
      </c>
      <c r="C915" s="20">
        <v>456500</v>
      </c>
    </row>
    <row r="916" spans="1:3" x14ac:dyDescent="0.3">
      <c r="A916" s="20">
        <v>913</v>
      </c>
      <c r="B916" s="20">
        <v>913</v>
      </c>
      <c r="C916" s="20">
        <v>457000</v>
      </c>
    </row>
    <row r="917" spans="1:3" x14ac:dyDescent="0.3">
      <c r="A917" s="20">
        <v>914</v>
      </c>
      <c r="B917" s="20">
        <v>914</v>
      </c>
      <c r="C917" s="20">
        <v>457500</v>
      </c>
    </row>
    <row r="918" spans="1:3" x14ac:dyDescent="0.3">
      <c r="A918" s="20">
        <v>915</v>
      </c>
      <c r="B918" s="20">
        <v>915</v>
      </c>
      <c r="C918" s="20">
        <v>458000</v>
      </c>
    </row>
    <row r="919" spans="1:3" x14ac:dyDescent="0.3">
      <c r="A919" s="20">
        <v>916</v>
      </c>
      <c r="B919" s="20">
        <v>916</v>
      </c>
      <c r="C919" s="20">
        <v>458500</v>
      </c>
    </row>
    <row r="920" spans="1:3" x14ac:dyDescent="0.3">
      <c r="A920" s="20">
        <v>917</v>
      </c>
      <c r="B920" s="20">
        <v>917</v>
      </c>
      <c r="C920" s="20">
        <v>459000</v>
      </c>
    </row>
    <row r="921" spans="1:3" x14ac:dyDescent="0.3">
      <c r="A921" s="20">
        <v>918</v>
      </c>
      <c r="B921" s="20">
        <v>918</v>
      </c>
      <c r="C921" s="20">
        <v>459500</v>
      </c>
    </row>
    <row r="922" spans="1:3" x14ac:dyDescent="0.3">
      <c r="A922" s="20">
        <v>919</v>
      </c>
      <c r="B922" s="20">
        <v>919</v>
      </c>
      <c r="C922" s="20">
        <v>460000</v>
      </c>
    </row>
    <row r="923" spans="1:3" x14ac:dyDescent="0.3">
      <c r="A923" s="20">
        <v>920</v>
      </c>
      <c r="B923" s="20">
        <v>920</v>
      </c>
      <c r="C923" s="20">
        <v>460500</v>
      </c>
    </row>
    <row r="924" spans="1:3" x14ac:dyDescent="0.3">
      <c r="A924" s="20">
        <v>921</v>
      </c>
      <c r="B924" s="20">
        <v>921</v>
      </c>
      <c r="C924" s="20">
        <v>461000</v>
      </c>
    </row>
    <row r="925" spans="1:3" x14ac:dyDescent="0.3">
      <c r="A925" s="20">
        <v>922</v>
      </c>
      <c r="B925" s="20">
        <v>922</v>
      </c>
      <c r="C925" s="20">
        <v>461500</v>
      </c>
    </row>
    <row r="926" spans="1:3" x14ac:dyDescent="0.3">
      <c r="A926" s="20">
        <v>923</v>
      </c>
      <c r="B926" s="20">
        <v>923</v>
      </c>
      <c r="C926" s="20">
        <v>462000</v>
      </c>
    </row>
    <row r="927" spans="1:3" x14ac:dyDescent="0.3">
      <c r="A927" s="20">
        <v>924</v>
      </c>
      <c r="B927" s="20">
        <v>924</v>
      </c>
      <c r="C927" s="20">
        <v>462500</v>
      </c>
    </row>
    <row r="928" spans="1:3" x14ac:dyDescent="0.3">
      <c r="A928" s="20">
        <v>925</v>
      </c>
      <c r="B928" s="20">
        <v>925</v>
      </c>
      <c r="C928" s="20">
        <v>463000</v>
      </c>
    </row>
    <row r="929" spans="1:3" x14ac:dyDescent="0.3">
      <c r="A929" s="20">
        <v>926</v>
      </c>
      <c r="B929" s="20">
        <v>926</v>
      </c>
      <c r="C929" s="20">
        <v>463500</v>
      </c>
    </row>
    <row r="930" spans="1:3" x14ac:dyDescent="0.3">
      <c r="A930" s="20">
        <v>927</v>
      </c>
      <c r="B930" s="20">
        <v>927</v>
      </c>
      <c r="C930" s="20">
        <v>464000</v>
      </c>
    </row>
    <row r="931" spans="1:3" x14ac:dyDescent="0.3">
      <c r="A931" s="20">
        <v>928</v>
      </c>
      <c r="B931" s="20">
        <v>928</v>
      </c>
      <c r="C931" s="20">
        <v>464500</v>
      </c>
    </row>
    <row r="932" spans="1:3" x14ac:dyDescent="0.3">
      <c r="A932" s="20">
        <v>929</v>
      </c>
      <c r="B932" s="20">
        <v>929</v>
      </c>
      <c r="C932" s="20">
        <v>465000</v>
      </c>
    </row>
    <row r="933" spans="1:3" x14ac:dyDescent="0.3">
      <c r="A933" s="20">
        <v>930</v>
      </c>
      <c r="B933" s="20">
        <v>930</v>
      </c>
      <c r="C933" s="20">
        <v>465500</v>
      </c>
    </row>
    <row r="934" spans="1:3" x14ac:dyDescent="0.3">
      <c r="A934" s="20">
        <v>931</v>
      </c>
      <c r="B934" s="20">
        <v>931</v>
      </c>
      <c r="C934" s="20">
        <v>466000</v>
      </c>
    </row>
    <row r="935" spans="1:3" x14ac:dyDescent="0.3">
      <c r="A935" s="20">
        <v>932</v>
      </c>
      <c r="B935" s="20">
        <v>932</v>
      </c>
      <c r="C935" s="20">
        <v>466500</v>
      </c>
    </row>
    <row r="936" spans="1:3" x14ac:dyDescent="0.3">
      <c r="A936" s="20">
        <v>933</v>
      </c>
      <c r="B936" s="20">
        <v>933</v>
      </c>
      <c r="C936" s="20">
        <v>467000</v>
      </c>
    </row>
    <row r="937" spans="1:3" x14ac:dyDescent="0.3">
      <c r="A937" s="20">
        <v>934</v>
      </c>
      <c r="B937" s="20">
        <v>934</v>
      </c>
      <c r="C937" s="20">
        <v>467500</v>
      </c>
    </row>
    <row r="938" spans="1:3" x14ac:dyDescent="0.3">
      <c r="A938" s="20">
        <v>935</v>
      </c>
      <c r="B938" s="20">
        <v>935</v>
      </c>
      <c r="C938" s="20">
        <v>468000</v>
      </c>
    </row>
    <row r="939" spans="1:3" x14ac:dyDescent="0.3">
      <c r="A939" s="20">
        <v>936</v>
      </c>
      <c r="B939" s="20">
        <v>936</v>
      </c>
      <c r="C939" s="20">
        <v>468500</v>
      </c>
    </row>
    <row r="940" spans="1:3" x14ac:dyDescent="0.3">
      <c r="A940" s="20">
        <v>937</v>
      </c>
      <c r="B940" s="20">
        <v>937</v>
      </c>
      <c r="C940" s="20">
        <v>469000</v>
      </c>
    </row>
    <row r="941" spans="1:3" x14ac:dyDescent="0.3">
      <c r="A941" s="20">
        <v>938</v>
      </c>
      <c r="B941" s="20">
        <v>938</v>
      </c>
      <c r="C941" s="20">
        <v>469500</v>
      </c>
    </row>
    <row r="942" spans="1:3" x14ac:dyDescent="0.3">
      <c r="A942" s="20">
        <v>939</v>
      </c>
      <c r="B942" s="20">
        <v>939</v>
      </c>
      <c r="C942" s="20">
        <v>470000</v>
      </c>
    </row>
    <row r="943" spans="1:3" x14ac:dyDescent="0.3">
      <c r="A943" s="20">
        <v>940</v>
      </c>
      <c r="B943" s="20">
        <v>940</v>
      </c>
      <c r="C943" s="20">
        <v>470500</v>
      </c>
    </row>
    <row r="944" spans="1:3" x14ac:dyDescent="0.3">
      <c r="A944" s="20">
        <v>941</v>
      </c>
      <c r="B944" s="20">
        <v>941</v>
      </c>
      <c r="C944" s="20">
        <v>471000</v>
      </c>
    </row>
    <row r="945" spans="1:3" x14ac:dyDescent="0.3">
      <c r="A945" s="20">
        <v>942</v>
      </c>
      <c r="B945" s="20">
        <v>942</v>
      </c>
      <c r="C945" s="20">
        <v>471500</v>
      </c>
    </row>
    <row r="946" spans="1:3" x14ac:dyDescent="0.3">
      <c r="A946" s="20">
        <v>943</v>
      </c>
      <c r="B946" s="20">
        <v>943</v>
      </c>
      <c r="C946" s="20">
        <v>472000</v>
      </c>
    </row>
    <row r="947" spans="1:3" x14ac:dyDescent="0.3">
      <c r="A947" s="20">
        <v>944</v>
      </c>
      <c r="B947" s="20">
        <v>944</v>
      </c>
      <c r="C947" s="20">
        <v>472500</v>
      </c>
    </row>
    <row r="948" spans="1:3" x14ac:dyDescent="0.3">
      <c r="A948" s="20">
        <v>945</v>
      </c>
      <c r="B948" s="20">
        <v>945</v>
      </c>
      <c r="C948" s="20">
        <v>473000</v>
      </c>
    </row>
    <row r="949" spans="1:3" x14ac:dyDescent="0.3">
      <c r="A949" s="20">
        <v>946</v>
      </c>
      <c r="B949" s="20">
        <v>946</v>
      </c>
      <c r="C949" s="20">
        <v>473500</v>
      </c>
    </row>
    <row r="950" spans="1:3" x14ac:dyDescent="0.3">
      <c r="A950" s="20">
        <v>947</v>
      </c>
      <c r="B950" s="20">
        <v>947</v>
      </c>
      <c r="C950" s="20">
        <v>474000</v>
      </c>
    </row>
    <row r="951" spans="1:3" x14ac:dyDescent="0.3">
      <c r="A951" s="20">
        <v>948</v>
      </c>
      <c r="B951" s="20">
        <v>948</v>
      </c>
      <c r="C951" s="20">
        <v>474500</v>
      </c>
    </row>
    <row r="952" spans="1:3" x14ac:dyDescent="0.3">
      <c r="A952" s="20">
        <v>949</v>
      </c>
      <c r="B952" s="20">
        <v>949</v>
      </c>
      <c r="C952" s="20">
        <v>475000</v>
      </c>
    </row>
    <row r="953" spans="1:3" x14ac:dyDescent="0.3">
      <c r="A953" s="20">
        <v>950</v>
      </c>
      <c r="B953" s="20">
        <v>950</v>
      </c>
      <c r="C953" s="20">
        <v>475500</v>
      </c>
    </row>
    <row r="954" spans="1:3" x14ac:dyDescent="0.3">
      <c r="A954" s="20">
        <v>951</v>
      </c>
      <c r="B954" s="20">
        <v>951</v>
      </c>
      <c r="C954" s="20">
        <v>476000</v>
      </c>
    </row>
    <row r="955" spans="1:3" x14ac:dyDescent="0.3">
      <c r="A955" s="20">
        <v>952</v>
      </c>
      <c r="B955" s="20">
        <v>952</v>
      </c>
      <c r="C955" s="20">
        <v>476500</v>
      </c>
    </row>
    <row r="956" spans="1:3" x14ac:dyDescent="0.3">
      <c r="A956" s="20">
        <v>953</v>
      </c>
      <c r="B956" s="20">
        <v>953</v>
      </c>
      <c r="C956" s="20">
        <v>477000</v>
      </c>
    </row>
    <row r="957" spans="1:3" x14ac:dyDescent="0.3">
      <c r="A957" s="20">
        <v>954</v>
      </c>
      <c r="B957" s="20">
        <v>954</v>
      </c>
      <c r="C957" s="20">
        <v>477500</v>
      </c>
    </row>
    <row r="958" spans="1:3" x14ac:dyDescent="0.3">
      <c r="A958" s="20">
        <v>955</v>
      </c>
      <c r="B958" s="20">
        <v>955</v>
      </c>
      <c r="C958" s="20">
        <v>478000</v>
      </c>
    </row>
    <row r="959" spans="1:3" x14ac:dyDescent="0.3">
      <c r="A959" s="20">
        <v>956</v>
      </c>
      <c r="B959" s="20">
        <v>956</v>
      </c>
      <c r="C959" s="20">
        <v>478500</v>
      </c>
    </row>
    <row r="960" spans="1:3" x14ac:dyDescent="0.3">
      <c r="A960" s="20">
        <v>957</v>
      </c>
      <c r="B960" s="20">
        <v>957</v>
      </c>
      <c r="C960" s="20">
        <v>479000</v>
      </c>
    </row>
    <row r="961" spans="1:3" x14ac:dyDescent="0.3">
      <c r="A961" s="20">
        <v>958</v>
      </c>
      <c r="B961" s="20">
        <v>958</v>
      </c>
      <c r="C961" s="20">
        <v>479500</v>
      </c>
    </row>
    <row r="962" spans="1:3" x14ac:dyDescent="0.3">
      <c r="A962" s="20">
        <v>959</v>
      </c>
      <c r="B962" s="20">
        <v>959</v>
      </c>
      <c r="C962" s="20">
        <v>480000</v>
      </c>
    </row>
    <row r="963" spans="1:3" x14ac:dyDescent="0.3">
      <c r="A963" s="20">
        <v>960</v>
      </c>
      <c r="B963" s="20">
        <v>960</v>
      </c>
      <c r="C963" s="20">
        <v>480500</v>
      </c>
    </row>
    <row r="964" spans="1:3" x14ac:dyDescent="0.3">
      <c r="A964" s="20">
        <v>961</v>
      </c>
      <c r="B964" s="20">
        <v>961</v>
      </c>
      <c r="C964" s="20">
        <v>481000</v>
      </c>
    </row>
    <row r="965" spans="1:3" x14ac:dyDescent="0.3">
      <c r="A965" s="20">
        <v>962</v>
      </c>
      <c r="B965" s="20">
        <v>962</v>
      </c>
      <c r="C965" s="20">
        <v>481500</v>
      </c>
    </row>
    <row r="966" spans="1:3" x14ac:dyDescent="0.3">
      <c r="A966" s="20">
        <v>963</v>
      </c>
      <c r="B966" s="20">
        <v>963</v>
      </c>
      <c r="C966" s="20">
        <v>482000</v>
      </c>
    </row>
    <row r="967" spans="1:3" x14ac:dyDescent="0.3">
      <c r="A967" s="20">
        <v>964</v>
      </c>
      <c r="B967" s="20">
        <v>964</v>
      </c>
      <c r="C967" s="20">
        <v>482500</v>
      </c>
    </row>
    <row r="968" spans="1:3" x14ac:dyDescent="0.3">
      <c r="A968" s="20">
        <v>965</v>
      </c>
      <c r="B968" s="20">
        <v>965</v>
      </c>
      <c r="C968" s="20">
        <v>483000</v>
      </c>
    </row>
    <row r="969" spans="1:3" x14ac:dyDescent="0.3">
      <c r="A969" s="20">
        <v>966</v>
      </c>
      <c r="B969" s="20">
        <v>966</v>
      </c>
      <c r="C969" s="20">
        <v>483500</v>
      </c>
    </row>
    <row r="970" spans="1:3" x14ac:dyDescent="0.3">
      <c r="A970" s="20">
        <v>967</v>
      </c>
      <c r="B970" s="20">
        <v>967</v>
      </c>
      <c r="C970" s="20">
        <v>484000</v>
      </c>
    </row>
    <row r="971" spans="1:3" x14ac:dyDescent="0.3">
      <c r="A971" s="20">
        <v>968</v>
      </c>
      <c r="B971" s="20">
        <v>968</v>
      </c>
      <c r="C971" s="20">
        <v>484500</v>
      </c>
    </row>
    <row r="972" spans="1:3" x14ac:dyDescent="0.3">
      <c r="A972" s="20">
        <v>969</v>
      </c>
      <c r="B972" s="20">
        <v>969</v>
      </c>
      <c r="C972" s="20">
        <v>485000</v>
      </c>
    </row>
    <row r="973" spans="1:3" x14ac:dyDescent="0.3">
      <c r="A973" s="20">
        <v>970</v>
      </c>
      <c r="B973" s="20">
        <v>970</v>
      </c>
      <c r="C973" s="20">
        <v>485500</v>
      </c>
    </row>
    <row r="974" spans="1:3" x14ac:dyDescent="0.3">
      <c r="A974" s="20">
        <v>971</v>
      </c>
      <c r="B974" s="20">
        <v>971</v>
      </c>
      <c r="C974" s="20">
        <v>486000</v>
      </c>
    </row>
    <row r="975" spans="1:3" x14ac:dyDescent="0.3">
      <c r="A975" s="20">
        <v>972</v>
      </c>
      <c r="B975" s="20">
        <v>972</v>
      </c>
      <c r="C975" s="20">
        <v>486500</v>
      </c>
    </row>
    <row r="976" spans="1:3" x14ac:dyDescent="0.3">
      <c r="A976" s="20">
        <v>973</v>
      </c>
      <c r="B976" s="20">
        <v>973</v>
      </c>
      <c r="C976" s="20">
        <v>487000</v>
      </c>
    </row>
    <row r="977" spans="1:3" x14ac:dyDescent="0.3">
      <c r="A977" s="20">
        <v>974</v>
      </c>
      <c r="B977" s="20">
        <v>974</v>
      </c>
      <c r="C977" s="20">
        <v>487500</v>
      </c>
    </row>
    <row r="978" spans="1:3" x14ac:dyDescent="0.3">
      <c r="A978" s="20">
        <v>975</v>
      </c>
      <c r="B978" s="20">
        <v>975</v>
      </c>
      <c r="C978" s="20">
        <v>488000</v>
      </c>
    </row>
    <row r="979" spans="1:3" x14ac:dyDescent="0.3">
      <c r="A979" s="20">
        <v>976</v>
      </c>
      <c r="B979" s="20">
        <v>976</v>
      </c>
      <c r="C979" s="20">
        <v>488500</v>
      </c>
    </row>
    <row r="980" spans="1:3" x14ac:dyDescent="0.3">
      <c r="A980" s="20">
        <v>977</v>
      </c>
      <c r="B980" s="20">
        <v>977</v>
      </c>
      <c r="C980" s="20">
        <v>489000</v>
      </c>
    </row>
    <row r="981" spans="1:3" x14ac:dyDescent="0.3">
      <c r="A981" s="20">
        <v>978</v>
      </c>
      <c r="B981" s="20">
        <v>978</v>
      </c>
      <c r="C981" s="20">
        <v>489500</v>
      </c>
    </row>
    <row r="982" spans="1:3" x14ac:dyDescent="0.3">
      <c r="A982" s="20">
        <v>979</v>
      </c>
      <c r="B982" s="20">
        <v>979</v>
      </c>
      <c r="C982" s="20">
        <v>490000</v>
      </c>
    </row>
    <row r="983" spans="1:3" x14ac:dyDescent="0.3">
      <c r="A983" s="20">
        <v>980</v>
      </c>
      <c r="B983" s="20">
        <v>980</v>
      </c>
      <c r="C983" s="20">
        <v>490500</v>
      </c>
    </row>
    <row r="984" spans="1:3" x14ac:dyDescent="0.3">
      <c r="A984" s="20">
        <v>981</v>
      </c>
      <c r="B984" s="20">
        <v>981</v>
      </c>
      <c r="C984" s="20">
        <v>491000</v>
      </c>
    </row>
    <row r="985" spans="1:3" x14ac:dyDescent="0.3">
      <c r="A985" s="20">
        <v>982</v>
      </c>
      <c r="B985" s="20">
        <v>982</v>
      </c>
      <c r="C985" s="20">
        <v>491500</v>
      </c>
    </row>
    <row r="986" spans="1:3" x14ac:dyDescent="0.3">
      <c r="A986" s="20">
        <v>983</v>
      </c>
      <c r="B986" s="20">
        <v>983</v>
      </c>
      <c r="C986" s="20">
        <v>492000</v>
      </c>
    </row>
    <row r="987" spans="1:3" x14ac:dyDescent="0.3">
      <c r="A987" s="20">
        <v>984</v>
      </c>
      <c r="B987" s="20">
        <v>984</v>
      </c>
      <c r="C987" s="20">
        <v>492500</v>
      </c>
    </row>
    <row r="988" spans="1:3" x14ac:dyDescent="0.3">
      <c r="A988" s="20">
        <v>985</v>
      </c>
      <c r="B988" s="20">
        <v>985</v>
      </c>
      <c r="C988" s="20">
        <v>493000</v>
      </c>
    </row>
    <row r="989" spans="1:3" x14ac:dyDescent="0.3">
      <c r="A989" s="20">
        <v>986</v>
      </c>
      <c r="B989" s="20">
        <v>986</v>
      </c>
      <c r="C989" s="20">
        <v>493500</v>
      </c>
    </row>
    <row r="990" spans="1:3" x14ac:dyDescent="0.3">
      <c r="A990" s="20">
        <v>987</v>
      </c>
      <c r="B990" s="20">
        <v>987</v>
      </c>
      <c r="C990" s="20">
        <v>494000</v>
      </c>
    </row>
    <row r="991" spans="1:3" x14ac:dyDescent="0.3">
      <c r="A991" s="20">
        <v>988</v>
      </c>
      <c r="B991" s="20">
        <v>988</v>
      </c>
      <c r="C991" s="20">
        <v>494500</v>
      </c>
    </row>
    <row r="992" spans="1:3" x14ac:dyDescent="0.3">
      <c r="A992" s="20">
        <v>989</v>
      </c>
      <c r="B992" s="20">
        <v>989</v>
      </c>
      <c r="C992" s="20">
        <v>495000</v>
      </c>
    </row>
    <row r="993" spans="1:3" x14ac:dyDescent="0.3">
      <c r="A993" s="20">
        <v>990</v>
      </c>
      <c r="B993" s="20">
        <v>990</v>
      </c>
      <c r="C993" s="20">
        <v>495500</v>
      </c>
    </row>
    <row r="994" spans="1:3" x14ac:dyDescent="0.3">
      <c r="A994" s="20">
        <v>991</v>
      </c>
      <c r="B994" s="20">
        <v>991</v>
      </c>
      <c r="C994" s="20">
        <v>496000</v>
      </c>
    </row>
    <row r="995" spans="1:3" x14ac:dyDescent="0.3">
      <c r="A995" s="20">
        <v>992</v>
      </c>
      <c r="B995" s="20">
        <v>992</v>
      </c>
      <c r="C995" s="20">
        <v>496500</v>
      </c>
    </row>
    <row r="996" spans="1:3" x14ac:dyDescent="0.3">
      <c r="A996" s="20">
        <v>993</v>
      </c>
      <c r="B996" s="20">
        <v>993</v>
      </c>
      <c r="C996" s="20">
        <v>497000</v>
      </c>
    </row>
    <row r="997" spans="1:3" x14ac:dyDescent="0.3">
      <c r="A997" s="20">
        <v>994</v>
      </c>
      <c r="B997" s="20">
        <v>994</v>
      </c>
      <c r="C997" s="20">
        <v>497500</v>
      </c>
    </row>
    <row r="998" spans="1:3" x14ac:dyDescent="0.3">
      <c r="A998" s="20">
        <v>995</v>
      </c>
      <c r="B998" s="20">
        <v>995</v>
      </c>
      <c r="C998" s="20">
        <v>498000</v>
      </c>
    </row>
    <row r="999" spans="1:3" x14ac:dyDescent="0.3">
      <c r="A999" s="20">
        <v>996</v>
      </c>
      <c r="B999" s="20">
        <v>996</v>
      </c>
      <c r="C999" s="20">
        <v>498500</v>
      </c>
    </row>
    <row r="1000" spans="1:3" x14ac:dyDescent="0.3">
      <c r="A1000" s="20">
        <v>997</v>
      </c>
      <c r="B1000" s="20">
        <v>997</v>
      </c>
      <c r="C1000" s="20">
        <v>499000</v>
      </c>
    </row>
    <row r="1001" spans="1:3" x14ac:dyDescent="0.3">
      <c r="A1001" s="20">
        <v>998</v>
      </c>
      <c r="B1001" s="20">
        <v>998</v>
      </c>
      <c r="C1001" s="20">
        <v>499500</v>
      </c>
    </row>
    <row r="1002" spans="1:3" x14ac:dyDescent="0.3">
      <c r="A1002" s="20">
        <v>999</v>
      </c>
      <c r="B1002" s="20">
        <v>999</v>
      </c>
      <c r="C1002" s="20">
        <v>500000</v>
      </c>
    </row>
    <row r="1003" spans="1:3" x14ac:dyDescent="0.3">
      <c r="A1003" s="20">
        <v>1000</v>
      </c>
      <c r="B1003" s="20">
        <v>1000</v>
      </c>
      <c r="C1003" s="20">
        <v>500500</v>
      </c>
    </row>
  </sheetData>
  <phoneticPr fontId="7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8"/>
  <sheetViews>
    <sheetView workbookViewId="0">
      <selection activeCell="K4" sqref="K4"/>
    </sheetView>
  </sheetViews>
  <sheetFormatPr defaultRowHeight="14.25" x14ac:dyDescent="0.3"/>
  <cols>
    <col min="1" max="16384" width="9" style="22"/>
  </cols>
  <sheetData>
    <row r="1" spans="1:16" x14ac:dyDescent="0.3">
      <c r="A1" s="20" t="s">
        <v>346</v>
      </c>
      <c r="B1" s="22" t="s">
        <v>460</v>
      </c>
      <c r="C1" s="22" t="s">
        <v>467</v>
      </c>
      <c r="D1" s="22" t="s">
        <v>468</v>
      </c>
      <c r="E1" s="22" t="s">
        <v>469</v>
      </c>
      <c r="F1" s="22" t="s">
        <v>470</v>
      </c>
      <c r="G1" s="22" t="s">
        <v>471</v>
      </c>
      <c r="H1" s="22" t="s">
        <v>472</v>
      </c>
      <c r="I1" s="22" t="s">
        <v>473</v>
      </c>
      <c r="J1" s="22" t="s">
        <v>482</v>
      </c>
      <c r="K1" s="22" t="s">
        <v>483</v>
      </c>
      <c r="L1" s="22" t="s">
        <v>484</v>
      </c>
      <c r="M1" s="22" t="s">
        <v>485</v>
      </c>
      <c r="N1" s="22" t="s">
        <v>486</v>
      </c>
      <c r="O1" s="22" t="s">
        <v>487</v>
      </c>
      <c r="P1" s="22" t="s">
        <v>488</v>
      </c>
    </row>
    <row r="2" spans="1:16" x14ac:dyDescent="0.3">
      <c r="A2" s="22" t="s">
        <v>437</v>
      </c>
      <c r="B2" s="22" t="s">
        <v>447</v>
      </c>
      <c r="C2" s="22" t="s">
        <v>440</v>
      </c>
      <c r="D2" s="22" t="s">
        <v>441</v>
      </c>
      <c r="E2" s="22" t="s">
        <v>442</v>
      </c>
      <c r="F2" s="22" t="s">
        <v>442</v>
      </c>
      <c r="G2" s="22" t="s">
        <v>443</v>
      </c>
      <c r="H2" s="22" t="s">
        <v>444</v>
      </c>
      <c r="I2" s="22" t="s">
        <v>442</v>
      </c>
      <c r="J2" s="22" t="s">
        <v>474</v>
      </c>
      <c r="K2" s="22" t="s">
        <v>474</v>
      </c>
      <c r="L2" s="22" t="s">
        <v>474</v>
      </c>
      <c r="M2" s="22" t="s">
        <v>474</v>
      </c>
      <c r="N2" s="22" t="s">
        <v>474</v>
      </c>
      <c r="O2" s="22" t="s">
        <v>474</v>
      </c>
      <c r="P2" s="22" t="s">
        <v>474</v>
      </c>
    </row>
    <row r="3" spans="1:16" x14ac:dyDescent="0.3">
      <c r="A3" s="20" t="s">
        <v>346</v>
      </c>
      <c r="B3" s="22" t="s">
        <v>461</v>
      </c>
      <c r="C3" s="17" t="s">
        <v>254</v>
      </c>
      <c r="D3" s="17" t="s">
        <v>255</v>
      </c>
      <c r="E3" s="17" t="s">
        <v>256</v>
      </c>
      <c r="F3" s="17" t="s">
        <v>257</v>
      </c>
      <c r="G3" s="17" t="s">
        <v>258</v>
      </c>
      <c r="H3" s="17" t="s">
        <v>259</v>
      </c>
      <c r="I3" s="17" t="s">
        <v>260</v>
      </c>
      <c r="J3" s="17" t="s">
        <v>475</v>
      </c>
      <c r="K3" s="17" t="s">
        <v>476</v>
      </c>
      <c r="L3" s="17" t="s">
        <v>477</v>
      </c>
      <c r="M3" s="17" t="s">
        <v>478</v>
      </c>
      <c r="N3" s="17" t="s">
        <v>479</v>
      </c>
      <c r="O3" s="17" t="s">
        <v>480</v>
      </c>
      <c r="P3" s="17" t="s">
        <v>481</v>
      </c>
    </row>
    <row r="4" spans="1:16" x14ac:dyDescent="0.3">
      <c r="A4" s="22">
        <v>1</v>
      </c>
      <c r="B4" s="22" t="s">
        <v>462</v>
      </c>
      <c r="C4" s="22">
        <v>5</v>
      </c>
      <c r="D4" s="22">
        <v>5</v>
      </c>
      <c r="E4" s="22">
        <v>10</v>
      </c>
      <c r="F4" s="22">
        <v>7</v>
      </c>
      <c r="G4" s="22">
        <v>6</v>
      </c>
      <c r="H4" s="22">
        <v>5</v>
      </c>
      <c r="I4" s="22">
        <v>5</v>
      </c>
      <c r="J4" s="22">
        <f>C4/10+1</f>
        <v>1.5</v>
      </c>
      <c r="K4" s="22">
        <f t="shared" ref="K4:P4" si="0">D4/10+1</f>
        <v>1.5</v>
      </c>
      <c r="L4" s="22">
        <f t="shared" si="0"/>
        <v>2</v>
      </c>
      <c r="M4" s="22">
        <f t="shared" si="0"/>
        <v>1.7</v>
      </c>
      <c r="N4" s="22">
        <f t="shared" si="0"/>
        <v>1.6</v>
      </c>
      <c r="O4" s="22">
        <f t="shared" si="0"/>
        <v>1.5</v>
      </c>
      <c r="P4" s="22">
        <f t="shared" si="0"/>
        <v>1.5</v>
      </c>
    </row>
    <row r="5" spans="1:16" x14ac:dyDescent="0.3">
      <c r="A5" s="22">
        <v>2</v>
      </c>
      <c r="B5" s="22" t="s">
        <v>463</v>
      </c>
      <c r="C5" s="22">
        <v>2</v>
      </c>
      <c r="D5" s="22">
        <v>10</v>
      </c>
      <c r="E5" s="22">
        <v>8</v>
      </c>
      <c r="F5" s="22">
        <v>3</v>
      </c>
      <c r="G5" s="22">
        <v>4</v>
      </c>
      <c r="H5" s="22">
        <v>1</v>
      </c>
      <c r="I5" s="22">
        <v>5</v>
      </c>
      <c r="J5" s="22">
        <f t="shared" ref="J5:J8" si="1">C5/10+1</f>
        <v>1.2</v>
      </c>
      <c r="K5" s="22">
        <f t="shared" ref="K5:K8" si="2">D5/10+1</f>
        <v>2</v>
      </c>
      <c r="L5" s="22">
        <f t="shared" ref="L5:L8" si="3">E5/10+1</f>
        <v>1.8</v>
      </c>
      <c r="M5" s="22">
        <f t="shared" ref="M5:M8" si="4">F5/10+1</f>
        <v>1.3</v>
      </c>
      <c r="N5" s="22">
        <f t="shared" ref="N5:N8" si="5">G5/10+1</f>
        <v>1.4</v>
      </c>
      <c r="O5" s="22">
        <f t="shared" ref="O5:O8" si="6">H5/10+1</f>
        <v>1.1000000000000001</v>
      </c>
      <c r="P5" s="22">
        <f t="shared" ref="P5:P8" si="7">I5/10+1</f>
        <v>1.5</v>
      </c>
    </row>
    <row r="6" spans="1:16" x14ac:dyDescent="0.3">
      <c r="A6" s="22">
        <v>3</v>
      </c>
      <c r="B6" s="22" t="s">
        <v>464</v>
      </c>
      <c r="C6" s="22">
        <v>10</v>
      </c>
      <c r="D6" s="22">
        <v>1</v>
      </c>
      <c r="E6" s="22">
        <v>3</v>
      </c>
      <c r="F6" s="22">
        <v>5</v>
      </c>
      <c r="G6" s="22">
        <v>5</v>
      </c>
      <c r="H6" s="22">
        <v>10</v>
      </c>
      <c r="I6" s="22">
        <v>1</v>
      </c>
      <c r="J6" s="22">
        <f t="shared" si="1"/>
        <v>2</v>
      </c>
      <c r="K6" s="22">
        <f t="shared" si="2"/>
        <v>1.1000000000000001</v>
      </c>
      <c r="L6" s="22">
        <f t="shared" si="3"/>
        <v>1.3</v>
      </c>
      <c r="M6" s="22">
        <f t="shared" si="4"/>
        <v>1.5</v>
      </c>
      <c r="N6" s="22">
        <f t="shared" si="5"/>
        <v>1.5</v>
      </c>
      <c r="O6" s="22">
        <f t="shared" si="6"/>
        <v>2</v>
      </c>
      <c r="P6" s="22">
        <f t="shared" si="7"/>
        <v>1.1000000000000001</v>
      </c>
    </row>
    <row r="7" spans="1:16" x14ac:dyDescent="0.3">
      <c r="A7" s="22">
        <v>4</v>
      </c>
      <c r="B7" s="22" t="s">
        <v>465</v>
      </c>
      <c r="C7" s="22">
        <v>1</v>
      </c>
      <c r="D7" s="22">
        <v>3</v>
      </c>
      <c r="E7" s="22">
        <v>4</v>
      </c>
      <c r="F7" s="22">
        <v>3</v>
      </c>
      <c r="G7" s="22">
        <v>2</v>
      </c>
      <c r="H7" s="22">
        <v>5</v>
      </c>
      <c r="I7" s="22">
        <v>3</v>
      </c>
      <c r="J7" s="22">
        <f t="shared" si="1"/>
        <v>1.1000000000000001</v>
      </c>
      <c r="K7" s="22">
        <f t="shared" si="2"/>
        <v>1.3</v>
      </c>
      <c r="L7" s="22">
        <f t="shared" si="3"/>
        <v>1.4</v>
      </c>
      <c r="M7" s="22">
        <f t="shared" si="4"/>
        <v>1.3</v>
      </c>
      <c r="N7" s="22">
        <f t="shared" si="5"/>
        <v>1.2</v>
      </c>
      <c r="O7" s="22">
        <f t="shared" si="6"/>
        <v>1.5</v>
      </c>
      <c r="P7" s="22">
        <f t="shared" si="7"/>
        <v>1.3</v>
      </c>
    </row>
    <row r="8" spans="1:16" x14ac:dyDescent="0.3">
      <c r="A8" s="22">
        <v>5</v>
      </c>
      <c r="B8" s="22" t="s">
        <v>466</v>
      </c>
      <c r="C8" s="22">
        <v>3</v>
      </c>
      <c r="D8" s="22">
        <v>2</v>
      </c>
      <c r="E8" s="22">
        <v>7</v>
      </c>
      <c r="F8" s="22">
        <v>10</v>
      </c>
      <c r="G8" s="22">
        <v>9</v>
      </c>
      <c r="H8" s="22">
        <v>3</v>
      </c>
      <c r="I8" s="22">
        <v>2</v>
      </c>
      <c r="J8" s="22">
        <f t="shared" si="1"/>
        <v>1.3</v>
      </c>
      <c r="K8" s="22">
        <f t="shared" si="2"/>
        <v>1.2</v>
      </c>
      <c r="L8" s="22">
        <f t="shared" si="3"/>
        <v>1.7</v>
      </c>
      <c r="M8" s="22">
        <f t="shared" si="4"/>
        <v>2</v>
      </c>
      <c r="N8" s="22">
        <f t="shared" si="5"/>
        <v>1.9</v>
      </c>
      <c r="O8" s="22">
        <f t="shared" si="6"/>
        <v>1.3</v>
      </c>
      <c r="P8" s="22">
        <f t="shared" si="7"/>
        <v>1.2</v>
      </c>
    </row>
  </sheetData>
  <phoneticPr fontId="7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7"/>
  <sheetViews>
    <sheetView tabSelected="1" workbookViewId="0">
      <selection activeCell="C45" sqref="C45"/>
    </sheetView>
  </sheetViews>
  <sheetFormatPr defaultRowHeight="13.5" x14ac:dyDescent="0.15"/>
  <cols>
    <col min="1" max="1" width="8.5" bestFit="1" customWidth="1"/>
    <col min="2" max="2" width="16.125" bestFit="1" customWidth="1"/>
  </cols>
  <sheetData>
    <row r="1" spans="1:2" x14ac:dyDescent="0.15">
      <c r="A1" t="s">
        <v>497</v>
      </c>
      <c r="B1" t="s">
        <v>496</v>
      </c>
    </row>
    <row r="2" spans="1:2" x14ac:dyDescent="0.15">
      <c r="A2" t="s">
        <v>499</v>
      </c>
      <c r="B2" t="s">
        <v>282</v>
      </c>
    </row>
    <row r="3" spans="1:2" x14ac:dyDescent="0.15">
      <c r="A3" t="s">
        <v>346</v>
      </c>
      <c r="B3" t="s">
        <v>489</v>
      </c>
    </row>
    <row r="4" spans="1:2" x14ac:dyDescent="0.15">
      <c r="A4" t="s">
        <v>498</v>
      </c>
      <c r="B4" t="s">
        <v>490</v>
      </c>
    </row>
    <row r="5" spans="1:2" x14ac:dyDescent="0.15">
      <c r="A5" t="s">
        <v>331</v>
      </c>
      <c r="B5" t="s">
        <v>491</v>
      </c>
    </row>
    <row r="6" spans="1:2" x14ac:dyDescent="0.15">
      <c r="A6" t="s">
        <v>492</v>
      </c>
      <c r="B6" t="s">
        <v>493</v>
      </c>
    </row>
    <row r="7" spans="1:2" x14ac:dyDescent="0.15">
      <c r="A7" t="s">
        <v>494</v>
      </c>
      <c r="B7" t="s">
        <v>495</v>
      </c>
    </row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计划情况</vt:lpstr>
      <vt:lpstr>属性结构</vt:lpstr>
      <vt:lpstr>战斗公式</vt:lpstr>
      <vt:lpstr>装备</vt:lpstr>
      <vt:lpstr>EnumRes</vt:lpstr>
      <vt:lpstr>EquipRes</vt:lpstr>
      <vt:lpstr>AtbRes</vt:lpstr>
      <vt:lpstr>RaceRes</vt:lpstr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2017-06-02T18:35:30Z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77939d24-c767-4bd5-a025-f51fe6baa84b</vt:lpwstr>
  </property>
</Properties>
</file>